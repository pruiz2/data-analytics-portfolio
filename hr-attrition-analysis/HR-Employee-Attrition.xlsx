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iz\OneDrive\Desktop\data-analytics-portfolio\hr-attrition-analytics\"/>
    </mc:Choice>
  </mc:AlternateContent>
  <xr:revisionPtr revIDLastSave="0" documentId="13_ncr:1_{6D6EF3A0-CB53-451E-95C8-003BECF1008E}" xr6:coauthVersionLast="47" xr6:coauthVersionMax="47" xr10:uidLastSave="{00000000-0000-0000-0000-000000000000}"/>
  <bookViews>
    <workbookView xWindow="-110" yWindow="-110" windowWidth="19420" windowHeight="10300" activeTab="3" xr2:uid="{F911EF75-BC67-41D3-B088-7781851696A0}"/>
  </bookViews>
  <sheets>
    <sheet name="Raw Data" sheetId="1" r:id="rId1"/>
    <sheet name="Analysis" sheetId="2" r:id="rId2"/>
    <sheet name="Dashboard" sheetId="3" r:id="rId3"/>
    <sheet name="Insigh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B5" i="3"/>
  <c r="C19" i="2"/>
  <c r="C20" i="2"/>
  <c r="C21" i="2"/>
  <c r="C18" i="2"/>
  <c r="B19" i="2"/>
  <c r="B20" i="2"/>
  <c r="B21" i="2"/>
  <c r="B18" i="2"/>
  <c r="C13" i="2"/>
  <c r="C14" i="2"/>
  <c r="B14" i="2"/>
  <c r="B13" i="2"/>
  <c r="B9" i="2"/>
  <c r="B8" i="2"/>
  <c r="D2" i="2"/>
  <c r="D3" i="2"/>
  <c r="D4" i="2"/>
  <c r="C2" i="2"/>
  <c r="C3" i="2"/>
  <c r="B2" i="2"/>
  <c r="B3" i="2"/>
  <c r="C4" i="2"/>
  <c r="B4" i="2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D5" i="3" l="1"/>
  <c r="I7" i="2"/>
  <c r="I5" i="2"/>
  <c r="I3" i="2"/>
  <c r="I9" i="2"/>
  <c r="I6" i="2"/>
  <c r="I10" i="2"/>
  <c r="I8" i="2"/>
  <c r="I2" i="2"/>
  <c r="H6" i="2"/>
  <c r="H3" i="2"/>
  <c r="H7" i="2"/>
  <c r="H8" i="2"/>
  <c r="H9" i="2"/>
  <c r="H2" i="2"/>
  <c r="H10" i="2"/>
  <c r="H4" i="2"/>
  <c r="G6" i="2"/>
  <c r="G3" i="2"/>
  <c r="G7" i="2"/>
  <c r="G8" i="2"/>
  <c r="G9" i="2"/>
  <c r="G2" i="2"/>
  <c r="G10" i="2"/>
  <c r="G4" i="2"/>
  <c r="D14" i="2"/>
  <c r="D13" i="2"/>
  <c r="D19" i="2"/>
  <c r="D20" i="2"/>
  <c r="D21" i="2"/>
  <c r="D18" i="2"/>
  <c r="I4" i="2" l="1"/>
  <c r="H5" i="2"/>
  <c r="G5" i="2"/>
</calcChain>
</file>

<file path=xl/sharedStrings.xml><?xml version="1.0" encoding="utf-8"?>
<sst xmlns="http://schemas.openxmlformats.org/spreadsheetml/2006/main" count="13338" uniqueCount="105">
  <si>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</si>
  <si>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</si>
  <si>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</si>
  <si>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</si>
  <si>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</si>
  <si>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</si>
  <si>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</si>
  <si>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</si>
  <si>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</si>
  <si>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</si>
  <si>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</si>
  <si>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</si>
  <si>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</si>
  <si>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</si>
  <si>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</si>
  <si>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</si>
  <si>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</si>
  <si>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</si>
  <si>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</si>
  <si>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</si>
  <si>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</si>
  <si>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</si>
  <si>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</si>
  <si>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</si>
  <si>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</si>
  <si>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</si>
  <si>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</si>
  <si>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</si>
  <si>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</si>
  <si>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</si>
  <si>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</si>
  <si>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</si>
  <si>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</si>
  <si>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</si>
  <si>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</si>
  <si>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</si>
  <si>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</si>
  <si>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</si>
  <si>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</si>
  <si>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</si>
  <si>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</si>
  <si>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</si>
  <si>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</si>
  <si>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</si>
  <si>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</si>
  <si>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</si>
  <si>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</si>
  <si>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</si>
  <si>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</si>
  <si>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</si>
  <si>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</si>
  <si>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</si>
  <si>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</si>
  <si>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</si>
  <si>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</si>
  <si>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</si>
  <si>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</si>
  <si>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</si>
  <si>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</si>
  <si>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</si>
  <si>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</si>
  <si>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</si>
  <si>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</si>
  <si>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Total Who Left</t>
  </si>
  <si>
    <t>Attrition Rate</t>
  </si>
  <si>
    <t>Employees Left</t>
  </si>
  <si>
    <t>Job Role</t>
  </si>
  <si>
    <t>Empoyees Left</t>
  </si>
  <si>
    <t>Attrition Status</t>
  </si>
  <si>
    <t>Avg Monthly Income</t>
  </si>
  <si>
    <t>Overtime</t>
  </si>
  <si>
    <t>Work Life Balance</t>
  </si>
  <si>
    <t>1 - Bad</t>
  </si>
  <si>
    <t>2 - Fair</t>
  </si>
  <si>
    <t>3 - Good</t>
  </si>
  <si>
    <t>4 - Excellent</t>
  </si>
  <si>
    <t>IBM HR Attrition Analysis</t>
  </si>
  <si>
    <t>IBM HR Attrition Analysis — Key Findings</t>
  </si>
  <si>
    <t>=========================================</t>
  </si>
  <si>
    <t>HEADLINE</t>
  </si>
  <si>
    <t xml:space="preserve">Overall attrition rate is 16%, meaning 237 of 1,470 employees </t>
  </si>
  <si>
    <t>left the company.</t>
  </si>
  <si>
    <t>FINDING 1 — COMPENSATION IS THE BIGGEST DRIVER</t>
  </si>
  <si>
    <t xml:space="preserve">Employees who left earned an average of $4,787/month compared </t>
  </si>
  <si>
    <t xml:space="preserve">to $6,833 for those who stayed — a 30% income gap suggesting </t>
  </si>
  <si>
    <t>compensation is a primary attrition driver.</t>
  </si>
  <si>
    <t>FINDING 2 — OVERTIME TRIPLES ATTRITION RISK</t>
  </si>
  <si>
    <t xml:space="preserve">Employees working overtime have a 31% attrition rate versus </t>
  </si>
  <si>
    <t xml:space="preserve">10% for those who don't — making overtime the single strongest </t>
  </si>
  <si>
    <t>predictor of departure in this dataset.</t>
  </si>
  <si>
    <t>FINDING 3 — SALES ROLES ARE HIGHEST RISK</t>
  </si>
  <si>
    <t xml:space="preserve">Sales Representatives have a 40% attrition rate — the highest </t>
  </si>
  <si>
    <t xml:space="preserve">of any job role. Combined with Sales department attrition of </t>
  </si>
  <si>
    <t>21%, the sales function represents the greatest retention risk.</t>
  </si>
  <si>
    <t>FINDING 4 — POOR WORK LIFE BALANCE DRIVES EARLY EXIT</t>
  </si>
  <si>
    <t xml:space="preserve">Employees rating work life balance as "Bad" show 31% attrition, </t>
  </si>
  <si>
    <t>more than double the rate of those rating it "Good" at 14%.</t>
  </si>
  <si>
    <t>RECOMMENDATIONS</t>
  </si>
  <si>
    <t xml:space="preserve">1. Review compensation bands for Sales Representatives and </t>
  </si>
  <si>
    <t xml:space="preserve">   Laboratory Technicians — both show high attrition and </t>
  </si>
  <si>
    <t xml:space="preserve">   likely below-market salaries.</t>
  </si>
  <si>
    <t xml:space="preserve">2. Audit overtime policies — employees working overtime are </t>
  </si>
  <si>
    <t xml:space="preserve">   3x more likely to leave.</t>
  </si>
  <si>
    <t xml:space="preserve">3. Implement targeted retention bonuses for Sales staff </t>
  </si>
  <si>
    <t xml:space="preserve">   given the 40% attrition rate in that 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</si>
</sst>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6" fillId="0" borderId="0" xfId="0" applyFont="1"/>
    <xf numFmtId="0" fontId="19" fillId="0" borderId="0" xfId="0" applyFont="1"/>
    <xf numFmtId="0" fontId="16" fillId="33" borderId="10" xfId="0" applyFont="1" applyFill="1" applyBorder="1"/>
    <xf numFmtId="0" fontId="18" fillId="33" borderId="10" xfId="0" applyFont="1" applyFill="1" applyBorder="1"/>
    <xf numFmtId="9" fontId="18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Analysis!$D$2:$D$4</c:f>
              <c:numCache>
                <c:formatCode>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7-4158-AE55-30B66FC06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647615"/>
        <c:axId val="372649535"/>
      </c:barChart>
      <c:catAx>
        <c:axId val="37264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49535"/>
        <c:crosses val="autoZero"/>
        <c:auto val="1"/>
        <c:lblAlgn val="ctr"/>
        <c:lblOffset val="100"/>
        <c:noMultiLvlLbl val="0"/>
      </c:catAx>
      <c:valAx>
        <c:axId val="3726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4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Analysis!$A$13:$A$14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Analysis!$D$13:$D$14</c:f>
              <c:numCache>
                <c:formatCode>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D-4E50-934C-F5D4234FB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646127"/>
        <c:axId val="363648527"/>
      </c:barChart>
      <c:catAx>
        <c:axId val="36364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648527"/>
        <c:crosses val="autoZero"/>
        <c:auto val="1"/>
        <c:lblAlgn val="ctr"/>
        <c:lblOffset val="100"/>
        <c:noMultiLvlLbl val="0"/>
      </c:catAx>
      <c:valAx>
        <c:axId val="36364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64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</a:t>
            </a:r>
            <a:r>
              <a:rPr lang="en-US" baseline="0"/>
              <a:t> Work 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Analysis!$A$18:$A$21</c:f>
              <c:strCache>
                <c:ptCount val="4"/>
                <c:pt idx="0">
                  <c:v>1 - Bad</c:v>
                </c:pt>
                <c:pt idx="1">
                  <c:v>2 - Fair</c:v>
                </c:pt>
                <c:pt idx="2">
                  <c:v>3 - Good</c:v>
                </c:pt>
                <c:pt idx="3">
                  <c:v>4 - Excellent</c:v>
                </c:pt>
              </c:strCache>
            </c:strRef>
          </c:cat>
          <c:val>
            <c:numRef>
              <c:f>Analysis!$D$18:$D$21</c:f>
              <c:numCache>
                <c:formatCode>0%</c:formatCode>
                <c:ptCount val="4"/>
                <c:pt idx="0">
                  <c:v>0.3125</c:v>
                </c:pt>
                <c:pt idx="1">
                  <c:v>0.16860465116279069</c:v>
                </c:pt>
                <c:pt idx="2">
                  <c:v>0.14221724524076149</c:v>
                </c:pt>
                <c:pt idx="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B-4769-9167-9E60D4B2B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619567"/>
        <c:axId val="371620047"/>
      </c:barChart>
      <c:catAx>
        <c:axId val="37161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20047"/>
        <c:crosses val="autoZero"/>
        <c:auto val="1"/>
        <c:lblAlgn val="ctr"/>
        <c:lblOffset val="100"/>
        <c:noMultiLvlLbl val="0"/>
      </c:catAx>
      <c:valAx>
        <c:axId val="3716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1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</a:t>
            </a:r>
            <a:r>
              <a:rPr lang="en-US" baseline="0"/>
              <a:t>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Analysis!$F$2:$F$10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Analysis!$I$2:$I$10</c:f>
              <c:numCache>
                <c:formatCode>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F-415F-8C44-621F5C492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551519"/>
        <c:axId val="483550079"/>
      </c:barChart>
      <c:catAx>
        <c:axId val="48355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50079"/>
        <c:crosses val="autoZero"/>
        <c:auto val="1"/>
        <c:lblAlgn val="ctr"/>
        <c:lblOffset val="100"/>
        <c:noMultiLvlLbl val="0"/>
      </c:catAx>
      <c:valAx>
        <c:axId val="4835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5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Monthly Income: Left vs Stayed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</c:f>
              <c:strCache>
                <c:ptCount val="1"/>
                <c:pt idx="0">
                  <c:v>Avg Monthly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Analysis!$A$8:$A$9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Analysis!$B$8:$B$9</c:f>
              <c:numCache>
                <c:formatCode>General</c:formatCode>
                <c:ptCount val="2"/>
                <c:pt idx="0">
                  <c:v>4787.09</c:v>
                </c:pt>
                <c:pt idx="1">
                  <c:v>6832.74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4-4D05-A1BD-6A070832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436496"/>
        <c:axId val="1937446096"/>
      </c:barChart>
      <c:catAx>
        <c:axId val="19374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446096"/>
        <c:crosses val="autoZero"/>
        <c:auto val="1"/>
        <c:lblAlgn val="ctr"/>
        <c:lblOffset val="100"/>
        <c:noMultiLvlLbl val="0"/>
      </c:catAx>
      <c:valAx>
        <c:axId val="19374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4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602795</xdr:colOff>
      <xdr:row>5</xdr:row>
      <xdr:rowOff>170089</xdr:rowOff>
    </xdr:from>
    <xdr:to>
      <xdr:col>6</xdr:col>
      <xdr:colOff>288636</xdr:colOff>
      <xdr:row>24</xdr:row>
      <xdr:rowOff>115454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92EBF-5EEF-45CE-8566-9010A6DB5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5</xdr:row>
      <xdr:rowOff>153517</xdr:rowOff>
    </xdr:from>
    <xdr:to>
      <xdr:col>20</xdr:col>
      <xdr:colOff>508000</xdr:colOff>
      <xdr:row>25</xdr:row>
      <xdr:rowOff>21167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56D39E8-0673-E778-7E8A-5B8F45BF9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506144</xdr:colOff>
      <xdr:row>26</xdr:row>
      <xdr:rowOff>28121</xdr:rowOff>
    </xdr:from>
    <xdr:to>
      <xdr:col>6</xdr:col>
      <xdr:colOff>274203</xdr:colOff>
      <xdr:row>50</xdr:row>
      <xdr:rowOff>43295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9F5B0B60-005E-1565-0103-D4D5F013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504203</xdr:colOff>
      <xdr:row>52</xdr:row>
      <xdr:rowOff>146649</xdr:rowOff>
    </xdr:from>
    <xdr:to>
      <xdr:col>21</xdr:col>
      <xdr:colOff>21167</xdr:colOff>
      <xdr:row>77</xdr:row>
      <xdr:rowOff>16355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4698DAF9-0880-1C9F-86E7-624F0D43B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571499</xdr:colOff>
      <xdr:row>26</xdr:row>
      <xdr:rowOff>26408</xdr:rowOff>
    </xdr:from>
    <xdr:to>
      <xdr:col>20</xdr:col>
      <xdr:colOff>592665</xdr:colOff>
      <xdr:row>50</xdr:row>
      <xdr:rowOff>42334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D81F47A-C58B-4E59-F9B5-7793905E9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83203-9DF3-4394-B995-0BD7C5970305}" name="Table1" displayName="Table1" ref="A1:AL1471" totalsRowShown="0">
  <autoFilter ref="A1:AL1471" xr:uid="{F6283203-9DF3-4394-B995-0BD7C5970305}"/>
  <tableColumns count="38">
    <tableColumn id="1" xr3:uid="{725C68EA-4DB8-4081-8E18-100B9B75FC29}" name="Age"/>
    <tableColumn id="2" xr3:uid="{94784FB4-75F6-4964-B424-7E494FD0A74C}" name="Attrition"/>
    <tableColumn id="3" xr3:uid="{F601660A-8935-4AB7-A5EA-3A518715EF3E}" name="BusinessTravel"/>
    <tableColumn id="4" xr3:uid="{15E00847-C6BE-4173-AD5F-A0F999CA7B8A}" name="DailyRate"/>
    <tableColumn id="5" xr3:uid="{3CBD9261-0232-40D8-A1D8-A6DC48DE95FF}" name="Department"/>
    <tableColumn id="6" xr3:uid="{D6A3A78E-77AD-42A7-B718-CFE518CB280C}" name="DistanceFromHome"/>
    <tableColumn id="7" xr3:uid="{9FB01AF6-C495-4184-8624-FBFD10C56FB8}" name="Education"/>
    <tableColumn id="8" xr3:uid="{5B04045C-EE63-4D71-A17A-1D8F79312B48}" name="EducationField"/>
    <tableColumn id="9" xr3:uid="{3E0AEA40-32DE-4111-8E70-B1A298BDFEBA}" name="EmployeeCount"/>
    <tableColumn id="10" xr3:uid="{E0ABF746-C726-454C-AEAF-7B6280285B29}" name="EmployeeNumber"/>
    <tableColumn id="11" xr3:uid="{B9C358AC-9DD4-443A-9941-395676809271}" name="EnvironmentSatisfaction"/>
    <tableColumn id="12" xr3:uid="{95445266-FAD8-42BA-B7DC-E19E1BBFE0AA}" name="Gender"/>
    <tableColumn id="13" xr3:uid="{50938258-6CC3-414B-8C3C-95CACC931F4E}" name="HourlyRate"/>
    <tableColumn id="14" xr3:uid="{3173C233-5006-4F9F-AEFC-482913AC08C1}" name="JobInvolvement"/>
    <tableColumn id="15" xr3:uid="{7B0EBFBD-708D-4CCA-9B9F-5859360D55A4}" name="JobLevel"/>
    <tableColumn id="16" xr3:uid="{E13DB603-D622-4EC7-A4FC-BB73CE7C89E8}" name="JobRole"/>
    <tableColumn id="17" xr3:uid="{F7815DE3-1AA3-4C65-929E-33E0ED5128A9}" name="JobSatisfaction"/>
    <tableColumn id="18" xr3:uid="{044C1AFD-9762-454B-B89B-653658CB498A}" name="MaritalStatus"/>
    <tableColumn id="19" xr3:uid="{915FC13B-D7C1-48B6-9A57-71FF281F214E}" name="MonthlyIncome"/>
    <tableColumn id="20" xr3:uid="{94FCE588-CB55-405C-9E68-39B75EFFA00E}" name="MonthlyRate"/>
    <tableColumn id="21" xr3:uid="{6EE19220-3692-47E7-9B74-74A6BE4D08F2}" name="NumCompaniesWorked"/>
    <tableColumn id="22" xr3:uid="{BB02ED96-5FB8-4BF2-9111-2513A060A3EA}" name="Over18"/>
    <tableColumn id="23" xr3:uid="{58EC6478-87BD-4EF7-A8F3-4530D5235B00}" name="OverTime"/>
    <tableColumn id="24" xr3:uid="{D5871C9B-2B5E-42A9-A996-76FCB537C110}" name="PercentSalaryHike"/>
    <tableColumn id="25" xr3:uid="{D8157E15-BBED-4DBE-894C-2B1558695B62}" name="PerformanceRating"/>
    <tableColumn id="26" xr3:uid="{FAE1E999-96BB-4A59-B54C-9230C01090A5}" name="RelationshipSatisfaction"/>
    <tableColumn id="27" xr3:uid="{DAF45F90-CF66-47D0-BC61-F61BB01D2E73}" name="StandardHours"/>
    <tableColumn id="28" xr3:uid="{0148397F-BD7E-457A-A9BC-2F234B1C1F56}" name="StockOptionLevel"/>
    <tableColumn id="29" xr3:uid="{F6B5BA38-85CB-40A3-9AA1-D438042B4CC9}" name="TotalWorkingYears"/>
    <tableColumn id="30" xr3:uid="{30EB9F87-4946-43BE-9CBD-BB017EA9DFBF}" name="TrainingTimesLastYear"/>
    <tableColumn id="31" xr3:uid="{77232015-9C94-4478-91D6-B7D772C89D9E}" name="WorkLifeBalance"/>
    <tableColumn id="32" xr3:uid="{FCF3FCC9-5C47-4AEF-AC47-FCE4C4B318BE}" name="YearsAtCompany"/>
    <tableColumn id="33" xr3:uid="{63A57CBA-E235-4089-BEF2-60D664126C55}" name="YearsInCurrentRole"/>
    <tableColumn id="34" xr3:uid="{09484634-E493-4E50-8C4C-8F7A8E02CD6D}" name="YearsSinceLastPromotion"/>
    <tableColumn id="35" xr3:uid="{EBF5C453-97FA-459B-BFDE-B2FF794942B1}" name="YearsWithCurrManager"/>
    <tableColumn id="36" xr3:uid="{66BBF8C1-53D3-449A-A64A-FE862C2E4065}" name="Total Employees" dataDxfId="2">
      <calculatedColumnFormula>COUNTA(A2:A1471)</calculatedColumnFormula>
    </tableColumn>
    <tableColumn id="37" xr3:uid="{CE1BD35E-8D3A-4688-8A45-09A626672887}" name="Total Who Left" dataDxfId="1">
      <calculatedColumnFormula>COUNTIF(B2:B1471, "Yes")</calculatedColumnFormula>
    </tableColumn>
    <tableColumn id="38" xr3:uid="{C081BC51-41C4-4E6D-8747-C8FBD18FDD0A}" name="Attrition Rate" dataDxfId="0">
      <calculatedColumnFormula>COUNTIF(B2:B1471, "Yes")/COUNTA(A2:A1471)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A9DA-76D9-41E4-9412-77EDED86AE1B}">
  <dimension ref="A1:AL1471"/>
  <sheetViews>
    <sheetView workbookViewId="0">
      <pane ySplit="1" topLeftCell="A2" activePane="bottomLeft" state="frozen"/>
      <selection pane="bottomLeft" activeCell="AM6" sqref="AM6"/>
    </sheetView>
  </sheetViews>
  <sheetFormatPr defaultRowHeight="14.5" x14ac:dyDescent="0.35"/>
  <cols>
    <col min="2" max="2" width="9.6328125" customWidth="1"/>
    <col min="3" max="3" width="15.36328125" customWidth="1"/>
    <col min="4" max="4" width="10.90625" customWidth="1"/>
    <col min="5" max="5" width="12.81640625" customWidth="1"/>
    <col min="6" max="6" width="19.453125" customWidth="1"/>
    <col min="7" max="7" width="11.26953125" customWidth="1"/>
    <col min="8" max="8" width="15.453125" customWidth="1"/>
    <col min="9" max="9" width="16.08984375" customWidth="1"/>
    <col min="10" max="10" width="17.7265625" customWidth="1"/>
    <col min="11" max="11" width="23.54296875" customWidth="1"/>
    <col min="12" max="12" width="8.90625" customWidth="1"/>
    <col min="13" max="13" width="12.08984375" customWidth="1"/>
    <col min="14" max="14" width="15.90625" customWidth="1"/>
    <col min="15" max="15" width="9.90625" customWidth="1"/>
    <col min="16" max="16" width="9.26953125" customWidth="1"/>
    <col min="17" max="17" width="15.6328125" customWidth="1"/>
    <col min="18" max="18" width="14" customWidth="1"/>
    <col min="19" max="19" width="15.81640625" customWidth="1"/>
    <col min="20" max="20" width="13.36328125" customWidth="1"/>
    <col min="21" max="21" width="22.7265625" customWidth="1"/>
    <col min="23" max="23" width="10.7265625" customWidth="1"/>
    <col min="24" max="24" width="18.26953125" customWidth="1"/>
    <col min="25" max="25" width="18.90625" customWidth="1"/>
    <col min="26" max="26" width="23.54296875" customWidth="1"/>
    <col min="27" max="27" width="15.36328125" customWidth="1"/>
    <col min="28" max="28" width="17.54296875" customWidth="1"/>
    <col min="29" max="29" width="18.36328125" customWidth="1"/>
    <col min="30" max="30" width="21.7265625" customWidth="1"/>
    <col min="31" max="31" width="16.90625" customWidth="1"/>
    <col min="32" max="32" width="17.1796875" customWidth="1"/>
    <col min="33" max="33" width="19.1796875" customWidth="1"/>
    <col min="34" max="34" width="24.26953125" customWidth="1"/>
    <col min="35" max="35" width="22.0898437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s="1" t="s">
        <v>64</v>
      </c>
    </row>
    <row r="2" spans="1:38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 t="shared" ref="AJ2:AJ65" si="0">COUNTA(A2:A1471)</f>
        <v>1470</v>
      </c>
      <c r="AK2">
        <f t="shared" ref="AK2:AK65" si="1">COUNTIF(B2:B1471, "Yes")</f>
        <v>237</v>
      </c>
      <c r="AL2" s="1">
        <f t="shared" ref="AL2:AL65" si="2">COUNTIF(B2:B1471, "Yes")/COUNTA(A2:A1471)</f>
        <v>0.16122448979591836</v>
      </c>
    </row>
    <row r="3" spans="1:38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si="0"/>
        <v>1469</v>
      </c>
      <c r="AK3">
        <f t="shared" si="1"/>
        <v>236</v>
      </c>
      <c r="AL3" s="1">
        <f t="shared" si="2"/>
        <v>0.16065350578624915</v>
      </c>
    </row>
    <row r="4" spans="1:38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1468</v>
      </c>
      <c r="AK4">
        <f t="shared" si="1"/>
        <v>236</v>
      </c>
      <c r="AL4" s="1">
        <f t="shared" si="2"/>
        <v>0.16076294277929154</v>
      </c>
    </row>
    <row r="5" spans="1:38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1467</v>
      </c>
      <c r="AK5">
        <f t="shared" si="1"/>
        <v>235</v>
      </c>
      <c r="AL5" s="1">
        <f t="shared" si="2"/>
        <v>0.16019086571233809</v>
      </c>
    </row>
    <row r="6" spans="1:38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1466</v>
      </c>
      <c r="AK6">
        <f t="shared" si="1"/>
        <v>235</v>
      </c>
      <c r="AL6" s="1">
        <f t="shared" si="2"/>
        <v>0.16030013642564803</v>
      </c>
    </row>
    <row r="7" spans="1:38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1465</v>
      </c>
      <c r="AK7">
        <f t="shared" si="1"/>
        <v>235</v>
      </c>
      <c r="AL7" s="1">
        <f t="shared" si="2"/>
        <v>0.16040955631399317</v>
      </c>
    </row>
    <row r="8" spans="1:38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1464</v>
      </c>
      <c r="AK8">
        <f t="shared" si="1"/>
        <v>235</v>
      </c>
      <c r="AL8" s="1">
        <f t="shared" si="2"/>
        <v>0.16051912568306012</v>
      </c>
    </row>
    <row r="9" spans="1:38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1463</v>
      </c>
      <c r="AK9">
        <f t="shared" si="1"/>
        <v>235</v>
      </c>
      <c r="AL9" s="1">
        <f t="shared" si="2"/>
        <v>0.16062884483937115</v>
      </c>
    </row>
    <row r="10" spans="1:38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1462</v>
      </c>
      <c r="AK10">
        <f t="shared" si="1"/>
        <v>235</v>
      </c>
      <c r="AL10" s="1">
        <f t="shared" si="2"/>
        <v>0.16073871409028728</v>
      </c>
    </row>
    <row r="11" spans="1:38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1461</v>
      </c>
      <c r="AK11">
        <f t="shared" si="1"/>
        <v>235</v>
      </c>
      <c r="AL11" s="1">
        <f t="shared" si="2"/>
        <v>0.16084873374401096</v>
      </c>
    </row>
    <row r="12" spans="1:38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1460</v>
      </c>
      <c r="AK12">
        <f t="shared" si="1"/>
        <v>235</v>
      </c>
      <c r="AL12" s="1">
        <f t="shared" si="2"/>
        <v>0.16095890410958905</v>
      </c>
    </row>
    <row r="13" spans="1:38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1459</v>
      </c>
      <c r="AK13">
        <f t="shared" si="1"/>
        <v>235</v>
      </c>
      <c r="AL13" s="1">
        <f t="shared" si="2"/>
        <v>0.16106922549691569</v>
      </c>
    </row>
    <row r="14" spans="1:38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1458</v>
      </c>
      <c r="AK14">
        <f t="shared" si="1"/>
        <v>235</v>
      </c>
      <c r="AL14" s="1">
        <f t="shared" si="2"/>
        <v>0.16117969821673525</v>
      </c>
    </row>
    <row r="15" spans="1:38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1457</v>
      </c>
      <c r="AK15">
        <f t="shared" si="1"/>
        <v>235</v>
      </c>
      <c r="AL15" s="1">
        <f t="shared" si="2"/>
        <v>0.16129032258064516</v>
      </c>
    </row>
    <row r="16" spans="1:38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1456</v>
      </c>
      <c r="AK16">
        <f t="shared" si="1"/>
        <v>235</v>
      </c>
      <c r="AL16" s="1">
        <f t="shared" si="2"/>
        <v>0.16140109890109891</v>
      </c>
    </row>
    <row r="17" spans="1:38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1455</v>
      </c>
      <c r="AK17">
        <f t="shared" si="1"/>
        <v>234</v>
      </c>
      <c r="AL17" s="1">
        <f t="shared" si="2"/>
        <v>0.16082474226804125</v>
      </c>
    </row>
    <row r="18" spans="1:38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1454</v>
      </c>
      <c r="AK18">
        <f t="shared" si="1"/>
        <v>234</v>
      </c>
      <c r="AL18" s="1">
        <f t="shared" si="2"/>
        <v>0.1609353507565337</v>
      </c>
    </row>
    <row r="19" spans="1:38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1453</v>
      </c>
      <c r="AK19">
        <f t="shared" si="1"/>
        <v>234</v>
      </c>
      <c r="AL19" s="1">
        <f t="shared" si="2"/>
        <v>0.16104611149346179</v>
      </c>
    </row>
    <row r="20" spans="1:38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1452</v>
      </c>
      <c r="AK20">
        <f t="shared" si="1"/>
        <v>234</v>
      </c>
      <c r="AL20" s="1">
        <f t="shared" si="2"/>
        <v>0.16115702479338842</v>
      </c>
    </row>
    <row r="21" spans="1:38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1451</v>
      </c>
      <c r="AK21">
        <f t="shared" si="1"/>
        <v>234</v>
      </c>
      <c r="AL21" s="1">
        <f t="shared" si="2"/>
        <v>0.16126809097174363</v>
      </c>
    </row>
    <row r="22" spans="1:38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1450</v>
      </c>
      <c r="AK22">
        <f t="shared" si="1"/>
        <v>234</v>
      </c>
      <c r="AL22" s="1">
        <f t="shared" si="2"/>
        <v>0.16137931034482758</v>
      </c>
    </row>
    <row r="23" spans="1:38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1449</v>
      </c>
      <c r="AK23">
        <f t="shared" si="1"/>
        <v>234</v>
      </c>
      <c r="AL23" s="1">
        <f t="shared" si="2"/>
        <v>0.16149068322981366</v>
      </c>
    </row>
    <row r="24" spans="1:38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1448</v>
      </c>
      <c r="AK24">
        <f t="shared" si="1"/>
        <v>233</v>
      </c>
      <c r="AL24" s="1">
        <f t="shared" si="2"/>
        <v>0.16091160220994474</v>
      </c>
    </row>
    <row r="25" spans="1:38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1447</v>
      </c>
      <c r="AK25">
        <f t="shared" si="1"/>
        <v>233</v>
      </c>
      <c r="AL25" s="1">
        <f t="shared" si="2"/>
        <v>0.16102280580511402</v>
      </c>
    </row>
    <row r="26" spans="1:38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1446</v>
      </c>
      <c r="AK26">
        <f t="shared" si="1"/>
        <v>233</v>
      </c>
      <c r="AL26" s="1">
        <f t="shared" si="2"/>
        <v>0.16113416320885202</v>
      </c>
    </row>
    <row r="27" spans="1:38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1445</v>
      </c>
      <c r="AK27">
        <f t="shared" si="1"/>
        <v>232</v>
      </c>
      <c r="AL27" s="1">
        <f t="shared" si="2"/>
        <v>0.16055363321799307</v>
      </c>
    </row>
    <row r="28" spans="1:38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1444</v>
      </c>
      <c r="AK28">
        <f t="shared" si="1"/>
        <v>232</v>
      </c>
      <c r="AL28" s="1">
        <f t="shared" si="2"/>
        <v>0.16066481994459833</v>
      </c>
    </row>
    <row r="29" spans="1:38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1443</v>
      </c>
      <c r="AK29">
        <f t="shared" si="1"/>
        <v>231</v>
      </c>
      <c r="AL29" s="1">
        <f t="shared" si="2"/>
        <v>0.16008316008316009</v>
      </c>
    </row>
    <row r="30" spans="1:38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1442</v>
      </c>
      <c r="AK30">
        <f t="shared" si="1"/>
        <v>231</v>
      </c>
      <c r="AL30" s="1">
        <f t="shared" si="2"/>
        <v>0.16019417475728157</v>
      </c>
    </row>
    <row r="31" spans="1:38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1441</v>
      </c>
      <c r="AK31">
        <f t="shared" si="1"/>
        <v>231</v>
      </c>
      <c r="AL31" s="1">
        <f t="shared" si="2"/>
        <v>0.16030534351145037</v>
      </c>
    </row>
    <row r="32" spans="1:38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1440</v>
      </c>
      <c r="AK32">
        <f t="shared" si="1"/>
        <v>231</v>
      </c>
      <c r="AL32" s="1">
        <f t="shared" si="2"/>
        <v>0.16041666666666668</v>
      </c>
    </row>
    <row r="33" spans="1:38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1439</v>
      </c>
      <c r="AK33">
        <f t="shared" si="1"/>
        <v>231</v>
      </c>
      <c r="AL33" s="1">
        <f t="shared" si="2"/>
        <v>0.16052814454482278</v>
      </c>
    </row>
    <row r="34" spans="1:38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1438</v>
      </c>
      <c r="AK34">
        <f t="shared" si="1"/>
        <v>231</v>
      </c>
      <c r="AL34" s="1">
        <f t="shared" si="2"/>
        <v>0.16063977746870653</v>
      </c>
    </row>
    <row r="35" spans="1:38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0"/>
        <v>1437</v>
      </c>
      <c r="AK35">
        <f t="shared" si="1"/>
        <v>231</v>
      </c>
      <c r="AL35" s="1">
        <f t="shared" si="2"/>
        <v>0.16075156576200417</v>
      </c>
    </row>
    <row r="36" spans="1:38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0"/>
        <v>1436</v>
      </c>
      <c r="AK36">
        <f t="shared" si="1"/>
        <v>230</v>
      </c>
      <c r="AL36" s="1">
        <f t="shared" si="2"/>
        <v>0.16016713091922005</v>
      </c>
    </row>
    <row r="37" spans="1:38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0"/>
        <v>1435</v>
      </c>
      <c r="AK37">
        <f t="shared" si="1"/>
        <v>229</v>
      </c>
      <c r="AL37" s="1">
        <f t="shared" si="2"/>
        <v>0.15958188153310104</v>
      </c>
    </row>
    <row r="38" spans="1:38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0"/>
        <v>1434</v>
      </c>
      <c r="AK38">
        <f t="shared" si="1"/>
        <v>229</v>
      </c>
      <c r="AL38" s="1">
        <f t="shared" si="2"/>
        <v>0.1596931659693166</v>
      </c>
    </row>
    <row r="39" spans="1:38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0"/>
        <v>1433</v>
      </c>
      <c r="AK39">
        <f t="shared" si="1"/>
        <v>228</v>
      </c>
      <c r="AL39" s="1">
        <f t="shared" si="2"/>
        <v>0.15910676901605025</v>
      </c>
    </row>
    <row r="40" spans="1:38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0"/>
        <v>1432</v>
      </c>
      <c r="AK40">
        <f t="shared" si="1"/>
        <v>228</v>
      </c>
      <c r="AL40" s="1">
        <f t="shared" si="2"/>
        <v>0.15921787709497207</v>
      </c>
    </row>
    <row r="41" spans="1:38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0"/>
        <v>1431</v>
      </c>
      <c r="AK41">
        <f t="shared" si="1"/>
        <v>228</v>
      </c>
      <c r="AL41" s="1">
        <f t="shared" si="2"/>
        <v>0.15932914046121593</v>
      </c>
    </row>
    <row r="42" spans="1:38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0"/>
        <v>1430</v>
      </c>
      <c r="AK42">
        <f t="shared" si="1"/>
        <v>228</v>
      </c>
      <c r="AL42" s="1">
        <f t="shared" si="2"/>
        <v>0.15944055944055943</v>
      </c>
    </row>
    <row r="43" spans="1:38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0"/>
        <v>1429</v>
      </c>
      <c r="AK43">
        <f t="shared" si="1"/>
        <v>228</v>
      </c>
      <c r="AL43" s="1">
        <f t="shared" si="2"/>
        <v>0.15955213435969209</v>
      </c>
    </row>
    <row r="44" spans="1:38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0"/>
        <v>1428</v>
      </c>
      <c r="AK44">
        <f t="shared" si="1"/>
        <v>228</v>
      </c>
      <c r="AL44" s="1">
        <f t="shared" si="2"/>
        <v>0.15966386554621848</v>
      </c>
    </row>
    <row r="45" spans="1:38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0"/>
        <v>1427</v>
      </c>
      <c r="AK45">
        <f t="shared" si="1"/>
        <v>227</v>
      </c>
      <c r="AL45" s="1">
        <f t="shared" si="2"/>
        <v>0.15907498248072879</v>
      </c>
    </row>
    <row r="46" spans="1:38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0"/>
        <v>1426</v>
      </c>
      <c r="AK46">
        <f t="shared" si="1"/>
        <v>227</v>
      </c>
      <c r="AL46" s="1">
        <f t="shared" si="2"/>
        <v>0.15918653576437589</v>
      </c>
    </row>
    <row r="47" spans="1:38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0"/>
        <v>1425</v>
      </c>
      <c r="AK47">
        <f t="shared" si="1"/>
        <v>227</v>
      </c>
      <c r="AL47" s="1">
        <f t="shared" si="2"/>
        <v>0.15929824561403508</v>
      </c>
    </row>
    <row r="48" spans="1:38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0"/>
        <v>1424</v>
      </c>
      <c r="AK48">
        <f t="shared" si="1"/>
        <v>226</v>
      </c>
      <c r="AL48" s="1">
        <f t="shared" si="2"/>
        <v>0.15870786516853932</v>
      </c>
    </row>
    <row r="49" spans="1:38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0"/>
        <v>1423</v>
      </c>
      <c r="AK49">
        <f t="shared" si="1"/>
        <v>226</v>
      </c>
      <c r="AL49" s="1">
        <f t="shared" si="2"/>
        <v>0.15881939564300773</v>
      </c>
    </row>
    <row r="50" spans="1:38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0"/>
        <v>1422</v>
      </c>
      <c r="AK50">
        <f t="shared" si="1"/>
        <v>226</v>
      </c>
      <c r="AL50" s="1">
        <f t="shared" si="2"/>
        <v>0.1589310829817159</v>
      </c>
    </row>
    <row r="51" spans="1:38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0"/>
        <v>1421</v>
      </c>
      <c r="AK51">
        <f t="shared" si="1"/>
        <v>226</v>
      </c>
      <c r="AL51" s="1">
        <f t="shared" si="2"/>
        <v>0.15904292751583393</v>
      </c>
    </row>
    <row r="52" spans="1:38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0"/>
        <v>1420</v>
      </c>
      <c r="AK52">
        <f t="shared" si="1"/>
        <v>226</v>
      </c>
      <c r="AL52" s="1">
        <f t="shared" si="2"/>
        <v>0.1591549295774648</v>
      </c>
    </row>
    <row r="53" spans="1:38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0"/>
        <v>1419</v>
      </c>
      <c r="AK53">
        <f t="shared" si="1"/>
        <v>225</v>
      </c>
      <c r="AL53" s="1">
        <f t="shared" si="2"/>
        <v>0.15856236786469344</v>
      </c>
    </row>
    <row r="54" spans="1:38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0"/>
        <v>1418</v>
      </c>
      <c r="AK54">
        <f t="shared" si="1"/>
        <v>224</v>
      </c>
      <c r="AL54" s="1">
        <f t="shared" si="2"/>
        <v>0.15796897038081806</v>
      </c>
    </row>
    <row r="55" spans="1:38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0"/>
        <v>1417</v>
      </c>
      <c r="AK55">
        <f t="shared" si="1"/>
        <v>224</v>
      </c>
      <c r="AL55" s="1">
        <f t="shared" si="2"/>
        <v>0.15808045165843332</v>
      </c>
    </row>
    <row r="56" spans="1:38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0"/>
        <v>1416</v>
      </c>
      <c r="AK56">
        <f t="shared" si="1"/>
        <v>224</v>
      </c>
      <c r="AL56" s="1">
        <f t="shared" si="2"/>
        <v>0.15819209039548024</v>
      </c>
    </row>
    <row r="57" spans="1:38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0"/>
        <v>1415</v>
      </c>
      <c r="AK57">
        <f t="shared" si="1"/>
        <v>224</v>
      </c>
      <c r="AL57" s="1">
        <f t="shared" si="2"/>
        <v>0.15830388692579506</v>
      </c>
    </row>
    <row r="58" spans="1:38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0"/>
        <v>1414</v>
      </c>
      <c r="AK58">
        <f t="shared" si="1"/>
        <v>224</v>
      </c>
      <c r="AL58" s="1">
        <f t="shared" si="2"/>
        <v>0.15841584158415842</v>
      </c>
    </row>
    <row r="59" spans="1:38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0"/>
        <v>1413</v>
      </c>
      <c r="AK59">
        <f t="shared" si="1"/>
        <v>224</v>
      </c>
      <c r="AL59" s="1">
        <f t="shared" si="2"/>
        <v>0.15852795470629866</v>
      </c>
    </row>
    <row r="60" spans="1:38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0"/>
        <v>1412</v>
      </c>
      <c r="AK60">
        <f t="shared" si="1"/>
        <v>224</v>
      </c>
      <c r="AL60" s="1">
        <f t="shared" si="2"/>
        <v>0.15864022662889518</v>
      </c>
    </row>
    <row r="61" spans="1:38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0"/>
        <v>1411</v>
      </c>
      <c r="AK61">
        <f t="shared" si="1"/>
        <v>224</v>
      </c>
      <c r="AL61" s="1">
        <f t="shared" si="2"/>
        <v>0.15875265768958186</v>
      </c>
    </row>
    <row r="62" spans="1:38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0"/>
        <v>1410</v>
      </c>
      <c r="AK62">
        <f t="shared" si="1"/>
        <v>224</v>
      </c>
      <c r="AL62" s="1">
        <f t="shared" si="2"/>
        <v>0.15886524822695036</v>
      </c>
    </row>
    <row r="63" spans="1:38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0"/>
        <v>1409</v>
      </c>
      <c r="AK63">
        <f t="shared" si="1"/>
        <v>224</v>
      </c>
      <c r="AL63" s="1">
        <f t="shared" si="2"/>
        <v>0.15897799858055359</v>
      </c>
    </row>
    <row r="64" spans="1:38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0"/>
        <v>1408</v>
      </c>
      <c r="AK64">
        <f t="shared" si="1"/>
        <v>224</v>
      </c>
      <c r="AL64" s="1">
        <f t="shared" si="2"/>
        <v>0.15909090909090909</v>
      </c>
    </row>
    <row r="65" spans="1:38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0"/>
        <v>1407</v>
      </c>
      <c r="AK65">
        <f t="shared" si="1"/>
        <v>224</v>
      </c>
      <c r="AL65" s="1">
        <f t="shared" si="2"/>
        <v>0.15920398009950248</v>
      </c>
    </row>
    <row r="66" spans="1:38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ref="AJ66:AJ129" si="3">COUNTA(A66:A1535)</f>
        <v>1406</v>
      </c>
      <c r="AK66">
        <f t="shared" ref="AK66:AK129" si="4">COUNTIF(B66:B1535, "Yes")</f>
        <v>224</v>
      </c>
      <c r="AL66" s="1">
        <f t="shared" ref="AL66:AL129" si="5">COUNTIF(B66:B1535, "Yes")/COUNTA(A66:A1535)</f>
        <v>0.15931721194879089</v>
      </c>
    </row>
    <row r="67" spans="1:38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si="3"/>
        <v>1405</v>
      </c>
      <c r="AK67">
        <f t="shared" si="4"/>
        <v>224</v>
      </c>
      <c r="AL67" s="1">
        <f t="shared" si="5"/>
        <v>0.1594306049822064</v>
      </c>
    </row>
    <row r="68" spans="1:38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3"/>
        <v>1404</v>
      </c>
      <c r="AK68">
        <f t="shared" si="4"/>
        <v>224</v>
      </c>
      <c r="AL68" s="1">
        <f t="shared" si="5"/>
        <v>0.15954415954415954</v>
      </c>
    </row>
    <row r="69" spans="1:38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3"/>
        <v>1403</v>
      </c>
      <c r="AK69">
        <f t="shared" si="4"/>
        <v>224</v>
      </c>
      <c r="AL69" s="1">
        <f t="shared" si="5"/>
        <v>0.15965787598004277</v>
      </c>
    </row>
    <row r="70" spans="1:38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3"/>
        <v>1402</v>
      </c>
      <c r="AK70">
        <f t="shared" si="4"/>
        <v>224</v>
      </c>
      <c r="AL70" s="1">
        <f t="shared" si="5"/>
        <v>0.15977175463623394</v>
      </c>
    </row>
    <row r="71" spans="1:38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3"/>
        <v>1401</v>
      </c>
      <c r="AK71">
        <f t="shared" si="4"/>
        <v>224</v>
      </c>
      <c r="AL71" s="1">
        <f t="shared" si="5"/>
        <v>0.15988579586009993</v>
      </c>
    </row>
    <row r="72" spans="1:38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3"/>
        <v>1400</v>
      </c>
      <c r="AK72">
        <f t="shared" si="4"/>
        <v>223</v>
      </c>
      <c r="AL72" s="1">
        <f t="shared" si="5"/>
        <v>0.15928571428571428</v>
      </c>
    </row>
    <row r="73" spans="1:38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3"/>
        <v>1399</v>
      </c>
      <c r="AK73">
        <f t="shared" si="4"/>
        <v>223</v>
      </c>
      <c r="AL73" s="1">
        <f t="shared" si="5"/>
        <v>0.15939957112223016</v>
      </c>
    </row>
    <row r="74" spans="1:38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3"/>
        <v>1398</v>
      </c>
      <c r="AK74">
        <f t="shared" si="4"/>
        <v>223</v>
      </c>
      <c r="AL74" s="1">
        <f t="shared" si="5"/>
        <v>0.15951359084406294</v>
      </c>
    </row>
    <row r="75" spans="1:38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3"/>
        <v>1397</v>
      </c>
      <c r="AK75">
        <f t="shared" si="4"/>
        <v>223</v>
      </c>
      <c r="AL75" s="1">
        <f t="shared" si="5"/>
        <v>0.15962777380100215</v>
      </c>
    </row>
    <row r="76" spans="1:38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3"/>
        <v>1396</v>
      </c>
      <c r="AK76">
        <f t="shared" si="4"/>
        <v>223</v>
      </c>
      <c r="AL76" s="1">
        <f t="shared" si="5"/>
        <v>0.15974212034383956</v>
      </c>
    </row>
    <row r="77" spans="1:38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3"/>
        <v>1395</v>
      </c>
      <c r="AK77">
        <f t="shared" si="4"/>
        <v>223</v>
      </c>
      <c r="AL77" s="1">
        <f t="shared" si="5"/>
        <v>0.15985663082437276</v>
      </c>
    </row>
    <row r="78" spans="1:38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3"/>
        <v>1394</v>
      </c>
      <c r="AK78">
        <f t="shared" si="4"/>
        <v>223</v>
      </c>
      <c r="AL78" s="1">
        <f t="shared" si="5"/>
        <v>0.1599713055954089</v>
      </c>
    </row>
    <row r="79" spans="1:38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3"/>
        <v>1393</v>
      </c>
      <c r="AK79">
        <f t="shared" si="4"/>
        <v>223</v>
      </c>
      <c r="AL79" s="1">
        <f t="shared" si="5"/>
        <v>0.16008614501076812</v>
      </c>
    </row>
    <row r="80" spans="1:38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3"/>
        <v>1392</v>
      </c>
      <c r="AK80">
        <f t="shared" si="4"/>
        <v>223</v>
      </c>
      <c r="AL80" s="1">
        <f t="shared" si="5"/>
        <v>0.16020114942528735</v>
      </c>
    </row>
    <row r="81" spans="1:38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3"/>
        <v>1391</v>
      </c>
      <c r="AK81">
        <f t="shared" si="4"/>
        <v>223</v>
      </c>
      <c r="AL81" s="1">
        <f t="shared" si="5"/>
        <v>0.16031631919482386</v>
      </c>
    </row>
    <row r="82" spans="1:38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3"/>
        <v>1390</v>
      </c>
      <c r="AK82">
        <f t="shared" si="4"/>
        <v>223</v>
      </c>
      <c r="AL82" s="1">
        <f t="shared" si="5"/>
        <v>0.160431654676259</v>
      </c>
    </row>
    <row r="83" spans="1:38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3"/>
        <v>1389</v>
      </c>
      <c r="AK83">
        <f t="shared" si="4"/>
        <v>223</v>
      </c>
      <c r="AL83" s="1">
        <f t="shared" si="5"/>
        <v>0.16054715622750179</v>
      </c>
    </row>
    <row r="84" spans="1:38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3"/>
        <v>1388</v>
      </c>
      <c r="AK84">
        <f t="shared" si="4"/>
        <v>223</v>
      </c>
      <c r="AL84" s="1">
        <f t="shared" si="5"/>
        <v>0.16066282420749278</v>
      </c>
    </row>
    <row r="85" spans="1:38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3"/>
        <v>1387</v>
      </c>
      <c r="AK85">
        <f t="shared" si="4"/>
        <v>223</v>
      </c>
      <c r="AL85" s="1">
        <f t="shared" si="5"/>
        <v>0.16077865897620763</v>
      </c>
    </row>
    <row r="86" spans="1:38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3"/>
        <v>1386</v>
      </c>
      <c r="AK86">
        <f t="shared" si="4"/>
        <v>223</v>
      </c>
      <c r="AL86" s="1">
        <f t="shared" si="5"/>
        <v>0.1608946608946609</v>
      </c>
    </row>
    <row r="87" spans="1:38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3"/>
        <v>1385</v>
      </c>
      <c r="AK87">
        <f t="shared" si="4"/>
        <v>223</v>
      </c>
      <c r="AL87" s="1">
        <f t="shared" si="5"/>
        <v>0.16101083032490976</v>
      </c>
    </row>
    <row r="88" spans="1:38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3"/>
        <v>1384</v>
      </c>
      <c r="AK88">
        <f t="shared" si="4"/>
        <v>223</v>
      </c>
      <c r="AL88" s="1">
        <f t="shared" si="5"/>
        <v>0.1611271676300578</v>
      </c>
    </row>
    <row r="89" spans="1:38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3"/>
        <v>1383</v>
      </c>
      <c r="AK89">
        <f t="shared" si="4"/>
        <v>223</v>
      </c>
      <c r="AL89" s="1">
        <f t="shared" si="5"/>
        <v>0.16124367317425886</v>
      </c>
    </row>
    <row r="90" spans="1:38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3"/>
        <v>1382</v>
      </c>
      <c r="AK90">
        <f t="shared" si="4"/>
        <v>223</v>
      </c>
      <c r="AL90" s="1">
        <f t="shared" si="5"/>
        <v>0.1613603473227207</v>
      </c>
    </row>
    <row r="91" spans="1:38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3"/>
        <v>1381</v>
      </c>
      <c r="AK91">
        <f t="shared" si="4"/>
        <v>223</v>
      </c>
      <c r="AL91" s="1">
        <f t="shared" si="5"/>
        <v>0.16147719044170891</v>
      </c>
    </row>
    <row r="92" spans="1:38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3"/>
        <v>1380</v>
      </c>
      <c r="AK92">
        <f t="shared" si="4"/>
        <v>222</v>
      </c>
      <c r="AL92" s="1">
        <f t="shared" si="5"/>
        <v>0.16086956521739129</v>
      </c>
    </row>
    <row r="93" spans="1:38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3"/>
        <v>1379</v>
      </c>
      <c r="AK93">
        <f t="shared" si="4"/>
        <v>222</v>
      </c>
      <c r="AL93" s="1">
        <f t="shared" si="5"/>
        <v>0.16098622189992748</v>
      </c>
    </row>
    <row r="94" spans="1:38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3"/>
        <v>1378</v>
      </c>
      <c r="AK94">
        <f t="shared" si="4"/>
        <v>222</v>
      </c>
      <c r="AL94" s="1">
        <f t="shared" si="5"/>
        <v>0.16110304789550073</v>
      </c>
    </row>
    <row r="95" spans="1:38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3"/>
        <v>1377</v>
      </c>
      <c r="AK95">
        <f t="shared" si="4"/>
        <v>222</v>
      </c>
      <c r="AL95" s="1">
        <f t="shared" si="5"/>
        <v>0.16122004357298475</v>
      </c>
    </row>
    <row r="96" spans="1:38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3"/>
        <v>1376</v>
      </c>
      <c r="AK96">
        <f t="shared" si="4"/>
        <v>222</v>
      </c>
      <c r="AL96" s="1">
        <f t="shared" si="5"/>
        <v>0.16133720930232559</v>
      </c>
    </row>
    <row r="97" spans="1:38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3"/>
        <v>1375</v>
      </c>
      <c r="AK97">
        <f t="shared" si="4"/>
        <v>222</v>
      </c>
      <c r="AL97" s="1">
        <f t="shared" si="5"/>
        <v>0.16145454545454546</v>
      </c>
    </row>
    <row r="98" spans="1:38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3"/>
        <v>1374</v>
      </c>
      <c r="AK98">
        <f t="shared" si="4"/>
        <v>222</v>
      </c>
      <c r="AL98" s="1">
        <f t="shared" si="5"/>
        <v>0.16157205240174671</v>
      </c>
    </row>
    <row r="99" spans="1:38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3"/>
        <v>1373</v>
      </c>
      <c r="AK99">
        <f t="shared" si="4"/>
        <v>222</v>
      </c>
      <c r="AL99" s="1">
        <f t="shared" si="5"/>
        <v>0.1616897305171158</v>
      </c>
    </row>
    <row r="100" spans="1:38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3"/>
        <v>1372</v>
      </c>
      <c r="AK100">
        <f t="shared" si="4"/>
        <v>222</v>
      </c>
      <c r="AL100" s="1">
        <f t="shared" si="5"/>
        <v>0.16180758017492711</v>
      </c>
    </row>
    <row r="101" spans="1:38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3"/>
        <v>1371</v>
      </c>
      <c r="AK101">
        <f t="shared" si="4"/>
        <v>222</v>
      </c>
      <c r="AL101" s="1">
        <f t="shared" si="5"/>
        <v>0.16192560175054704</v>
      </c>
    </row>
    <row r="102" spans="1:38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3"/>
        <v>1370</v>
      </c>
      <c r="AK102">
        <f t="shared" si="4"/>
        <v>222</v>
      </c>
      <c r="AL102" s="1">
        <f t="shared" si="5"/>
        <v>0.16204379562043797</v>
      </c>
    </row>
    <row r="103" spans="1:38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3"/>
        <v>1369</v>
      </c>
      <c r="AK103">
        <f t="shared" si="4"/>
        <v>221</v>
      </c>
      <c r="AL103" s="1">
        <f t="shared" si="5"/>
        <v>0.16143170197224252</v>
      </c>
    </row>
    <row r="104" spans="1:38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3"/>
        <v>1368</v>
      </c>
      <c r="AK104">
        <f t="shared" si="4"/>
        <v>221</v>
      </c>
      <c r="AL104" s="1">
        <f t="shared" si="5"/>
        <v>0.16154970760233919</v>
      </c>
    </row>
    <row r="105" spans="1:38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3"/>
        <v>1367</v>
      </c>
      <c r="AK105">
        <f t="shared" si="4"/>
        <v>220</v>
      </c>
      <c r="AL105" s="1">
        <f t="shared" si="5"/>
        <v>0.16093635698610095</v>
      </c>
    </row>
    <row r="106" spans="1:38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3"/>
        <v>1366</v>
      </c>
      <c r="AK106">
        <f t="shared" si="4"/>
        <v>220</v>
      </c>
      <c r="AL106" s="1">
        <f t="shared" si="5"/>
        <v>0.16105417276720352</v>
      </c>
    </row>
    <row r="107" spans="1:38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3"/>
        <v>1365</v>
      </c>
      <c r="AK107">
        <f t="shared" si="4"/>
        <v>220</v>
      </c>
      <c r="AL107" s="1">
        <f t="shared" si="5"/>
        <v>0.16117216117216118</v>
      </c>
    </row>
    <row r="108" spans="1:38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3"/>
        <v>1364</v>
      </c>
      <c r="AK108">
        <f t="shared" si="4"/>
        <v>220</v>
      </c>
      <c r="AL108" s="1">
        <f t="shared" si="5"/>
        <v>0.16129032258064516</v>
      </c>
    </row>
    <row r="109" spans="1:38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3"/>
        <v>1363</v>
      </c>
      <c r="AK109">
        <f t="shared" si="4"/>
        <v>220</v>
      </c>
      <c r="AL109" s="1">
        <f t="shared" si="5"/>
        <v>0.16140865737344093</v>
      </c>
    </row>
    <row r="110" spans="1:38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3"/>
        <v>1362</v>
      </c>
      <c r="AK110">
        <f t="shared" si="4"/>
        <v>219</v>
      </c>
      <c r="AL110" s="1">
        <f t="shared" si="5"/>
        <v>0.16079295154185022</v>
      </c>
    </row>
    <row r="111" spans="1:38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3"/>
        <v>1361</v>
      </c>
      <c r="AK111">
        <f t="shared" si="4"/>
        <v>219</v>
      </c>
      <c r="AL111" s="1">
        <f t="shared" si="5"/>
        <v>0.16091109478324761</v>
      </c>
    </row>
    <row r="112" spans="1:38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3"/>
        <v>1360</v>
      </c>
      <c r="AK112">
        <f t="shared" si="4"/>
        <v>219</v>
      </c>
      <c r="AL112" s="1">
        <f t="shared" si="5"/>
        <v>0.16102941176470589</v>
      </c>
    </row>
    <row r="113" spans="1:38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3"/>
        <v>1359</v>
      </c>
      <c r="AK113">
        <f t="shared" si="4"/>
        <v>219</v>
      </c>
      <c r="AL113" s="1">
        <f t="shared" si="5"/>
        <v>0.16114790286975716</v>
      </c>
    </row>
    <row r="114" spans="1:38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3"/>
        <v>1358</v>
      </c>
      <c r="AK114">
        <f t="shared" si="4"/>
        <v>218</v>
      </c>
      <c r="AL114" s="1">
        <f t="shared" si="5"/>
        <v>0.16053019145802652</v>
      </c>
    </row>
    <row r="115" spans="1:38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3"/>
        <v>1357</v>
      </c>
      <c r="AK115">
        <f t="shared" si="4"/>
        <v>218</v>
      </c>
      <c r="AL115" s="1">
        <f t="shared" si="5"/>
        <v>0.16064848931466469</v>
      </c>
    </row>
    <row r="116" spans="1:38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3"/>
        <v>1356</v>
      </c>
      <c r="AK116">
        <f t="shared" si="4"/>
        <v>218</v>
      </c>
      <c r="AL116" s="1">
        <f t="shared" si="5"/>
        <v>0.16076696165191739</v>
      </c>
    </row>
    <row r="117" spans="1:38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3"/>
        <v>1355</v>
      </c>
      <c r="AK117">
        <f t="shared" si="4"/>
        <v>218</v>
      </c>
      <c r="AL117" s="1">
        <f t="shared" si="5"/>
        <v>0.16088560885608857</v>
      </c>
    </row>
    <row r="118" spans="1:38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3"/>
        <v>1354</v>
      </c>
      <c r="AK118">
        <f t="shared" si="4"/>
        <v>218</v>
      </c>
      <c r="AL118" s="1">
        <f t="shared" si="5"/>
        <v>0.16100443131462333</v>
      </c>
    </row>
    <row r="119" spans="1:38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3"/>
        <v>1353</v>
      </c>
      <c r="AK119">
        <f t="shared" si="4"/>
        <v>218</v>
      </c>
      <c r="AL119" s="1">
        <f t="shared" si="5"/>
        <v>0.16112342941611235</v>
      </c>
    </row>
    <row r="120" spans="1:38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3"/>
        <v>1352</v>
      </c>
      <c r="AK120">
        <f t="shared" si="4"/>
        <v>218</v>
      </c>
      <c r="AL120" s="1">
        <f t="shared" si="5"/>
        <v>0.16124260355029585</v>
      </c>
    </row>
    <row r="121" spans="1:38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3"/>
        <v>1351</v>
      </c>
      <c r="AK121">
        <f t="shared" si="4"/>
        <v>218</v>
      </c>
      <c r="AL121" s="1">
        <f t="shared" si="5"/>
        <v>0.16136195410806808</v>
      </c>
    </row>
    <row r="122" spans="1:38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3"/>
        <v>1350</v>
      </c>
      <c r="AK122">
        <f t="shared" si="4"/>
        <v>218</v>
      </c>
      <c r="AL122" s="1">
        <f t="shared" si="5"/>
        <v>0.16148148148148148</v>
      </c>
    </row>
    <row r="123" spans="1:38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3"/>
        <v>1349</v>
      </c>
      <c r="AK123">
        <f t="shared" si="4"/>
        <v>218</v>
      </c>
      <c r="AL123" s="1">
        <f t="shared" si="5"/>
        <v>0.16160118606375093</v>
      </c>
    </row>
    <row r="124" spans="1:38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3"/>
        <v>1348</v>
      </c>
      <c r="AK124">
        <f t="shared" si="4"/>
        <v>218</v>
      </c>
      <c r="AL124" s="1">
        <f t="shared" si="5"/>
        <v>0.16172106824925817</v>
      </c>
    </row>
    <row r="125" spans="1:38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3"/>
        <v>1347</v>
      </c>
      <c r="AK125">
        <f t="shared" si="4"/>
        <v>217</v>
      </c>
      <c r="AL125" s="1">
        <f t="shared" si="5"/>
        <v>0.16109873793615442</v>
      </c>
    </row>
    <row r="126" spans="1:38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3"/>
        <v>1346</v>
      </c>
      <c r="AK126">
        <f t="shared" si="4"/>
        <v>217</v>
      </c>
      <c r="AL126" s="1">
        <f t="shared" si="5"/>
        <v>0.16121842496285291</v>
      </c>
    </row>
    <row r="127" spans="1:38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3"/>
        <v>1345</v>
      </c>
      <c r="AK127">
        <f t="shared" si="4"/>
        <v>216</v>
      </c>
      <c r="AL127" s="1">
        <f t="shared" si="5"/>
        <v>0.16059479553903347</v>
      </c>
    </row>
    <row r="128" spans="1:38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3"/>
        <v>1344</v>
      </c>
      <c r="AK128">
        <f t="shared" si="4"/>
        <v>216</v>
      </c>
      <c r="AL128" s="1">
        <f t="shared" si="5"/>
        <v>0.16071428571428573</v>
      </c>
    </row>
    <row r="129" spans="1:38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3"/>
        <v>1343</v>
      </c>
      <c r="AK129">
        <f t="shared" si="4"/>
        <v>215</v>
      </c>
      <c r="AL129" s="1">
        <f t="shared" si="5"/>
        <v>0.16008935219657483</v>
      </c>
    </row>
    <row r="130" spans="1:38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ref="AJ130:AJ193" si="6">COUNTA(A130:A1599)</f>
        <v>1342</v>
      </c>
      <c r="AK130">
        <f t="shared" ref="AK130:AK193" si="7">COUNTIF(B130:B1599, "Yes")</f>
        <v>214</v>
      </c>
      <c r="AL130" s="1">
        <f t="shared" ref="AL130:AL193" si="8">COUNTIF(B130:B1599, "Yes")/COUNTA(A130:A1599)</f>
        <v>0.15946348733233978</v>
      </c>
    </row>
    <row r="131" spans="1:38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si="6"/>
        <v>1341</v>
      </c>
      <c r="AK131">
        <f t="shared" si="7"/>
        <v>214</v>
      </c>
      <c r="AL131" s="1">
        <f t="shared" si="8"/>
        <v>0.15958240119313946</v>
      </c>
    </row>
    <row r="132" spans="1:38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6"/>
        <v>1340</v>
      </c>
      <c r="AK132">
        <f t="shared" si="7"/>
        <v>214</v>
      </c>
      <c r="AL132" s="1">
        <f t="shared" si="8"/>
        <v>0.15970149253731344</v>
      </c>
    </row>
    <row r="133" spans="1:38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6"/>
        <v>1339</v>
      </c>
      <c r="AK133">
        <f t="shared" si="7"/>
        <v>214</v>
      </c>
      <c r="AL133" s="1">
        <f t="shared" si="8"/>
        <v>0.15982076176250934</v>
      </c>
    </row>
    <row r="134" spans="1:38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6"/>
        <v>1338</v>
      </c>
      <c r="AK134">
        <f t="shared" si="7"/>
        <v>214</v>
      </c>
      <c r="AL134" s="1">
        <f t="shared" si="8"/>
        <v>0.15994020926756353</v>
      </c>
    </row>
    <row r="135" spans="1:38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6"/>
        <v>1337</v>
      </c>
      <c r="AK135">
        <f t="shared" si="7"/>
        <v>213</v>
      </c>
      <c r="AL135" s="1">
        <f t="shared" si="8"/>
        <v>0.1593118922961855</v>
      </c>
    </row>
    <row r="136" spans="1:38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6"/>
        <v>1336</v>
      </c>
      <c r="AK136">
        <f t="shared" si="7"/>
        <v>213</v>
      </c>
      <c r="AL136" s="1">
        <f t="shared" si="8"/>
        <v>0.15943113772455089</v>
      </c>
    </row>
    <row r="137" spans="1:38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6"/>
        <v>1335</v>
      </c>
      <c r="AK137">
        <f t="shared" si="7"/>
        <v>213</v>
      </c>
      <c r="AL137" s="1">
        <f t="shared" si="8"/>
        <v>0.15955056179775282</v>
      </c>
    </row>
    <row r="138" spans="1:38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6"/>
        <v>1334</v>
      </c>
      <c r="AK138">
        <f t="shared" si="7"/>
        <v>213</v>
      </c>
      <c r="AL138" s="1">
        <f t="shared" si="8"/>
        <v>0.15967016491754124</v>
      </c>
    </row>
    <row r="139" spans="1:38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6"/>
        <v>1333</v>
      </c>
      <c r="AK139">
        <f t="shared" si="7"/>
        <v>212</v>
      </c>
      <c r="AL139" s="1">
        <f t="shared" si="8"/>
        <v>0.15903975993998501</v>
      </c>
    </row>
    <row r="140" spans="1:38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6"/>
        <v>1332</v>
      </c>
      <c r="AK140">
        <f t="shared" si="7"/>
        <v>212</v>
      </c>
      <c r="AL140" s="1">
        <f t="shared" si="8"/>
        <v>0.15915915915915915</v>
      </c>
    </row>
    <row r="141" spans="1:38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6"/>
        <v>1331</v>
      </c>
      <c r="AK141">
        <f t="shared" si="7"/>
        <v>212</v>
      </c>
      <c r="AL141" s="1">
        <f t="shared" si="8"/>
        <v>0.15927873779113449</v>
      </c>
    </row>
    <row r="142" spans="1:38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6"/>
        <v>1330</v>
      </c>
      <c r="AK142">
        <f t="shared" si="7"/>
        <v>212</v>
      </c>
      <c r="AL142" s="1">
        <f t="shared" si="8"/>
        <v>0.15939849624060151</v>
      </c>
    </row>
    <row r="143" spans="1:38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6"/>
        <v>1329</v>
      </c>
      <c r="AK143">
        <f t="shared" si="7"/>
        <v>211</v>
      </c>
      <c r="AL143" s="1">
        <f t="shared" si="8"/>
        <v>0.15876598946576373</v>
      </c>
    </row>
    <row r="144" spans="1:38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6"/>
        <v>1328</v>
      </c>
      <c r="AK144">
        <f t="shared" si="7"/>
        <v>211</v>
      </c>
      <c r="AL144" s="1">
        <f t="shared" si="8"/>
        <v>0.1588855421686747</v>
      </c>
    </row>
    <row r="145" spans="1:38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6"/>
        <v>1327</v>
      </c>
      <c r="AK145">
        <f t="shared" si="7"/>
        <v>211</v>
      </c>
      <c r="AL145" s="1">
        <f t="shared" si="8"/>
        <v>0.15900527505651846</v>
      </c>
    </row>
    <row r="146" spans="1:38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6"/>
        <v>1326</v>
      </c>
      <c r="AK146">
        <f t="shared" si="7"/>
        <v>211</v>
      </c>
      <c r="AL146" s="1">
        <f t="shared" si="8"/>
        <v>0.15912518853695323</v>
      </c>
    </row>
    <row r="147" spans="1:38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6"/>
        <v>1325</v>
      </c>
      <c r="AK147">
        <f t="shared" si="7"/>
        <v>211</v>
      </c>
      <c r="AL147" s="1">
        <f t="shared" si="8"/>
        <v>0.15924528301886792</v>
      </c>
    </row>
    <row r="148" spans="1:38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6"/>
        <v>1324</v>
      </c>
      <c r="AK148">
        <f t="shared" si="7"/>
        <v>211</v>
      </c>
      <c r="AL148" s="1">
        <f t="shared" si="8"/>
        <v>0.15936555891238671</v>
      </c>
    </row>
    <row r="149" spans="1:38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6"/>
        <v>1323</v>
      </c>
      <c r="AK149">
        <f t="shared" si="7"/>
        <v>211</v>
      </c>
      <c r="AL149" s="1">
        <f t="shared" si="8"/>
        <v>0.15948601662887377</v>
      </c>
    </row>
    <row r="150" spans="1:38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6"/>
        <v>1322</v>
      </c>
      <c r="AK150">
        <f t="shared" si="7"/>
        <v>211</v>
      </c>
      <c r="AL150" s="1">
        <f t="shared" si="8"/>
        <v>0.15960665658093798</v>
      </c>
    </row>
    <row r="151" spans="1:38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6"/>
        <v>1321</v>
      </c>
      <c r="AK151">
        <f t="shared" si="7"/>
        <v>211</v>
      </c>
      <c r="AL151" s="1">
        <f t="shared" si="8"/>
        <v>0.15972747918243754</v>
      </c>
    </row>
    <row r="152" spans="1:38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6"/>
        <v>1320</v>
      </c>
      <c r="AK152">
        <f t="shared" si="7"/>
        <v>211</v>
      </c>
      <c r="AL152" s="1">
        <f t="shared" si="8"/>
        <v>0.15984848484848485</v>
      </c>
    </row>
    <row r="153" spans="1:38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6"/>
        <v>1319</v>
      </c>
      <c r="AK153">
        <f t="shared" si="7"/>
        <v>211</v>
      </c>
      <c r="AL153" s="1">
        <f t="shared" si="8"/>
        <v>0.15996967399545109</v>
      </c>
    </row>
    <row r="154" spans="1:38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6"/>
        <v>1318</v>
      </c>
      <c r="AK154">
        <f t="shared" si="7"/>
        <v>211</v>
      </c>
      <c r="AL154" s="1">
        <f t="shared" si="8"/>
        <v>0.16009104704097116</v>
      </c>
    </row>
    <row r="155" spans="1:38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6"/>
        <v>1317</v>
      </c>
      <c r="AK155">
        <f t="shared" si="7"/>
        <v>211</v>
      </c>
      <c r="AL155" s="1">
        <f t="shared" si="8"/>
        <v>0.16021260440394836</v>
      </c>
    </row>
    <row r="156" spans="1:38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6"/>
        <v>1316</v>
      </c>
      <c r="AK156">
        <f t="shared" si="7"/>
        <v>211</v>
      </c>
      <c r="AL156" s="1">
        <f t="shared" si="8"/>
        <v>0.16033434650455927</v>
      </c>
    </row>
    <row r="157" spans="1:38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6"/>
        <v>1315</v>
      </c>
      <c r="AK157">
        <f t="shared" si="7"/>
        <v>211</v>
      </c>
      <c r="AL157" s="1">
        <f t="shared" si="8"/>
        <v>0.16045627376425856</v>
      </c>
    </row>
    <row r="158" spans="1:38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6"/>
        <v>1314</v>
      </c>
      <c r="AK158">
        <f t="shared" si="7"/>
        <v>211</v>
      </c>
      <c r="AL158" s="1">
        <f t="shared" si="8"/>
        <v>0.16057838660578386</v>
      </c>
    </row>
    <row r="159" spans="1:38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6"/>
        <v>1313</v>
      </c>
      <c r="AK159">
        <f t="shared" si="7"/>
        <v>211</v>
      </c>
      <c r="AL159" s="1">
        <f t="shared" si="8"/>
        <v>0.16070068545316071</v>
      </c>
    </row>
    <row r="160" spans="1:38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6"/>
        <v>1312</v>
      </c>
      <c r="AK160">
        <f t="shared" si="7"/>
        <v>211</v>
      </c>
      <c r="AL160" s="1">
        <f t="shared" si="8"/>
        <v>0.16082317073170732</v>
      </c>
    </row>
    <row r="161" spans="1:38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6"/>
        <v>1311</v>
      </c>
      <c r="AK161">
        <f t="shared" si="7"/>
        <v>211</v>
      </c>
      <c r="AL161" s="1">
        <f t="shared" si="8"/>
        <v>0.16094584286803967</v>
      </c>
    </row>
    <row r="162" spans="1:38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6"/>
        <v>1310</v>
      </c>
      <c r="AK162">
        <f t="shared" si="7"/>
        <v>211</v>
      </c>
      <c r="AL162" s="1">
        <f t="shared" si="8"/>
        <v>0.16106870229007633</v>
      </c>
    </row>
    <row r="163" spans="1:38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6"/>
        <v>1309</v>
      </c>
      <c r="AK163">
        <f t="shared" si="7"/>
        <v>211</v>
      </c>
      <c r="AL163" s="1">
        <f t="shared" si="8"/>
        <v>0.16119174942704353</v>
      </c>
    </row>
    <row r="164" spans="1:38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6"/>
        <v>1308</v>
      </c>
      <c r="AK164">
        <f t="shared" si="7"/>
        <v>211</v>
      </c>
      <c r="AL164" s="1">
        <f t="shared" si="8"/>
        <v>0.16131498470948014</v>
      </c>
    </row>
    <row r="165" spans="1:38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6"/>
        <v>1307</v>
      </c>
      <c r="AK165">
        <f t="shared" si="7"/>
        <v>211</v>
      </c>
      <c r="AL165" s="1">
        <f t="shared" si="8"/>
        <v>0.16143840856924255</v>
      </c>
    </row>
    <row r="166" spans="1:38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6"/>
        <v>1306</v>
      </c>
      <c r="AK166">
        <f t="shared" si="7"/>
        <v>211</v>
      </c>
      <c r="AL166" s="1">
        <f t="shared" si="8"/>
        <v>0.16156202143950996</v>
      </c>
    </row>
    <row r="167" spans="1:38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6"/>
        <v>1305</v>
      </c>
      <c r="AK167">
        <f t="shared" si="7"/>
        <v>211</v>
      </c>
      <c r="AL167" s="1">
        <f t="shared" si="8"/>
        <v>0.16168582375478927</v>
      </c>
    </row>
    <row r="168" spans="1:38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6"/>
        <v>1304</v>
      </c>
      <c r="AK168">
        <f t="shared" si="7"/>
        <v>211</v>
      </c>
      <c r="AL168" s="1">
        <f t="shared" si="8"/>
        <v>0.16180981595092025</v>
      </c>
    </row>
    <row r="169" spans="1:38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6"/>
        <v>1303</v>
      </c>
      <c r="AK169">
        <f t="shared" si="7"/>
        <v>211</v>
      </c>
      <c r="AL169" s="1">
        <f t="shared" si="8"/>
        <v>0.16193399846508058</v>
      </c>
    </row>
    <row r="170" spans="1:38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6"/>
        <v>1302</v>
      </c>
      <c r="AK170">
        <f t="shared" si="7"/>
        <v>211</v>
      </c>
      <c r="AL170" s="1">
        <f t="shared" si="8"/>
        <v>0.1620583717357911</v>
      </c>
    </row>
    <row r="171" spans="1:38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6"/>
        <v>1301</v>
      </c>
      <c r="AK171">
        <f t="shared" si="7"/>
        <v>211</v>
      </c>
      <c r="AL171" s="1">
        <f t="shared" si="8"/>
        <v>0.16218293620292082</v>
      </c>
    </row>
    <row r="172" spans="1:38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6"/>
        <v>1300</v>
      </c>
      <c r="AK172">
        <f t="shared" si="7"/>
        <v>211</v>
      </c>
      <c r="AL172" s="1">
        <f t="shared" si="8"/>
        <v>0.16230769230769232</v>
      </c>
    </row>
    <row r="173" spans="1:38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6"/>
        <v>1299</v>
      </c>
      <c r="AK173">
        <f t="shared" si="7"/>
        <v>211</v>
      </c>
      <c r="AL173" s="1">
        <f t="shared" si="8"/>
        <v>0.16243264049268669</v>
      </c>
    </row>
    <row r="174" spans="1:38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6"/>
        <v>1298</v>
      </c>
      <c r="AK174">
        <f t="shared" si="7"/>
        <v>210</v>
      </c>
      <c r="AL174" s="1">
        <f t="shared" si="8"/>
        <v>0.16178736517719569</v>
      </c>
    </row>
    <row r="175" spans="1:38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6"/>
        <v>1297</v>
      </c>
      <c r="AK175">
        <f t="shared" si="7"/>
        <v>210</v>
      </c>
      <c r="AL175" s="1">
        <f t="shared" si="8"/>
        <v>0.16191210485736315</v>
      </c>
    </row>
    <row r="176" spans="1:38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6"/>
        <v>1296</v>
      </c>
      <c r="AK176">
        <f t="shared" si="7"/>
        <v>210</v>
      </c>
      <c r="AL176" s="1">
        <f t="shared" si="8"/>
        <v>0.16203703703703703</v>
      </c>
    </row>
    <row r="177" spans="1:38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6"/>
        <v>1295</v>
      </c>
      <c r="AK177">
        <f t="shared" si="7"/>
        <v>210</v>
      </c>
      <c r="AL177" s="1">
        <f t="shared" si="8"/>
        <v>0.16216216216216217</v>
      </c>
    </row>
    <row r="178" spans="1:38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6"/>
        <v>1294</v>
      </c>
      <c r="AK178">
        <f t="shared" si="7"/>
        <v>210</v>
      </c>
      <c r="AL178" s="1">
        <f t="shared" si="8"/>
        <v>0.16228748068006182</v>
      </c>
    </row>
    <row r="179" spans="1:38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6"/>
        <v>1293</v>
      </c>
      <c r="AK179">
        <f t="shared" si="7"/>
        <v>210</v>
      </c>
      <c r="AL179" s="1">
        <f t="shared" si="8"/>
        <v>0.16241299303944315</v>
      </c>
    </row>
    <row r="180" spans="1:38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6"/>
        <v>1292</v>
      </c>
      <c r="AK180">
        <f t="shared" si="7"/>
        <v>209</v>
      </c>
      <c r="AL180" s="1">
        <f t="shared" si="8"/>
        <v>0.16176470588235295</v>
      </c>
    </row>
    <row r="181" spans="1:38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6"/>
        <v>1291</v>
      </c>
      <c r="AK181">
        <f t="shared" si="7"/>
        <v>209</v>
      </c>
      <c r="AL181" s="1">
        <f t="shared" si="8"/>
        <v>0.16189000774593337</v>
      </c>
    </row>
    <row r="182" spans="1:38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6"/>
        <v>1290</v>
      </c>
      <c r="AK182">
        <f t="shared" si="7"/>
        <v>209</v>
      </c>
      <c r="AL182" s="1">
        <f t="shared" si="8"/>
        <v>0.162015503875969</v>
      </c>
    </row>
    <row r="183" spans="1:38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6"/>
        <v>1289</v>
      </c>
      <c r="AK183">
        <f t="shared" si="7"/>
        <v>209</v>
      </c>
      <c r="AL183" s="1">
        <f t="shared" si="8"/>
        <v>0.16214119472459271</v>
      </c>
    </row>
    <row r="184" spans="1:38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6"/>
        <v>1288</v>
      </c>
      <c r="AK184">
        <f t="shared" si="7"/>
        <v>209</v>
      </c>
      <c r="AL184" s="1">
        <f t="shared" si="8"/>
        <v>0.1622670807453416</v>
      </c>
    </row>
    <row r="185" spans="1:38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6"/>
        <v>1287</v>
      </c>
      <c r="AK185">
        <f t="shared" si="7"/>
        <v>208</v>
      </c>
      <c r="AL185" s="1">
        <f t="shared" si="8"/>
        <v>0.16161616161616163</v>
      </c>
    </row>
    <row r="186" spans="1:38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6"/>
        <v>1286</v>
      </c>
      <c r="AK186">
        <f t="shared" si="7"/>
        <v>208</v>
      </c>
      <c r="AL186" s="1">
        <f t="shared" si="8"/>
        <v>0.16174183514774496</v>
      </c>
    </row>
    <row r="187" spans="1:38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6"/>
        <v>1285</v>
      </c>
      <c r="AK187">
        <f t="shared" si="7"/>
        <v>208</v>
      </c>
      <c r="AL187" s="1">
        <f t="shared" si="8"/>
        <v>0.16186770428015565</v>
      </c>
    </row>
    <row r="188" spans="1:38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6"/>
        <v>1284</v>
      </c>
      <c r="AK188">
        <f t="shared" si="7"/>
        <v>208</v>
      </c>
      <c r="AL188" s="1">
        <f t="shared" si="8"/>
        <v>0.16199376947040497</v>
      </c>
    </row>
    <row r="189" spans="1:38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6"/>
        <v>1283</v>
      </c>
      <c r="AK189">
        <f t="shared" si="7"/>
        <v>208</v>
      </c>
      <c r="AL189" s="1">
        <f t="shared" si="8"/>
        <v>0.16212003117692908</v>
      </c>
    </row>
    <row r="190" spans="1:38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6"/>
        <v>1282</v>
      </c>
      <c r="AK190">
        <f t="shared" si="7"/>
        <v>208</v>
      </c>
      <c r="AL190" s="1">
        <f t="shared" si="8"/>
        <v>0.16224648985959439</v>
      </c>
    </row>
    <row r="191" spans="1:38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6"/>
        <v>1281</v>
      </c>
      <c r="AK191">
        <f t="shared" si="7"/>
        <v>208</v>
      </c>
      <c r="AL191" s="1">
        <f t="shared" si="8"/>
        <v>0.16237314597970337</v>
      </c>
    </row>
    <row r="192" spans="1:38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6"/>
        <v>1280</v>
      </c>
      <c r="AK192">
        <f t="shared" si="7"/>
        <v>208</v>
      </c>
      <c r="AL192" s="1">
        <f t="shared" si="8"/>
        <v>0.16250000000000001</v>
      </c>
    </row>
    <row r="193" spans="1:38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6"/>
        <v>1279</v>
      </c>
      <c r="AK193">
        <f t="shared" si="7"/>
        <v>208</v>
      </c>
      <c r="AL193" s="1">
        <f t="shared" si="8"/>
        <v>0.16262705238467554</v>
      </c>
    </row>
    <row r="194" spans="1:38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ref="AJ194:AJ257" si="9">COUNTA(A194:A1663)</f>
        <v>1278</v>
      </c>
      <c r="AK194">
        <f t="shared" ref="AK194:AK257" si="10">COUNTIF(B194:B1663, "Yes")</f>
        <v>208</v>
      </c>
      <c r="AL194" s="1">
        <f t="shared" ref="AL194:AL257" si="11">COUNTIF(B194:B1663, "Yes")/COUNTA(A194:A1663)</f>
        <v>0.16275430359937401</v>
      </c>
    </row>
    <row r="195" spans="1:38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si="9"/>
        <v>1277</v>
      </c>
      <c r="AK195">
        <f t="shared" si="10"/>
        <v>207</v>
      </c>
      <c r="AL195" s="1">
        <f t="shared" si="11"/>
        <v>0.16209866875489429</v>
      </c>
    </row>
    <row r="196" spans="1:38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9"/>
        <v>1276</v>
      </c>
      <c r="AK196">
        <f t="shared" si="10"/>
        <v>207</v>
      </c>
      <c r="AL196" s="1">
        <f t="shared" si="11"/>
        <v>0.16222570532915362</v>
      </c>
    </row>
    <row r="197" spans="1:38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9"/>
        <v>1275</v>
      </c>
      <c r="AK197">
        <f t="shared" si="10"/>
        <v>207</v>
      </c>
      <c r="AL197" s="1">
        <f t="shared" si="11"/>
        <v>0.16235294117647059</v>
      </c>
    </row>
    <row r="198" spans="1:38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9"/>
        <v>1274</v>
      </c>
      <c r="AK198">
        <f t="shared" si="10"/>
        <v>207</v>
      </c>
      <c r="AL198" s="1">
        <f t="shared" si="11"/>
        <v>0.16248037676609106</v>
      </c>
    </row>
    <row r="199" spans="1:38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9"/>
        <v>1273</v>
      </c>
      <c r="AK199">
        <f t="shared" si="10"/>
        <v>207</v>
      </c>
      <c r="AL199" s="1">
        <f t="shared" si="11"/>
        <v>0.16260801256873528</v>
      </c>
    </row>
    <row r="200" spans="1:38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9"/>
        <v>1272</v>
      </c>
      <c r="AK200">
        <f t="shared" si="10"/>
        <v>207</v>
      </c>
      <c r="AL200" s="1">
        <f t="shared" si="11"/>
        <v>0.16273584905660377</v>
      </c>
    </row>
    <row r="201" spans="1:38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9"/>
        <v>1271</v>
      </c>
      <c r="AK201">
        <f t="shared" si="10"/>
        <v>207</v>
      </c>
      <c r="AL201" s="1">
        <f t="shared" si="11"/>
        <v>0.16286388670338317</v>
      </c>
    </row>
    <row r="202" spans="1:38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9"/>
        <v>1270</v>
      </c>
      <c r="AK202">
        <f t="shared" si="10"/>
        <v>207</v>
      </c>
      <c r="AL202" s="1">
        <f t="shared" si="11"/>
        <v>0.16299212598425197</v>
      </c>
    </row>
    <row r="203" spans="1:38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9"/>
        <v>1269</v>
      </c>
      <c r="AK203">
        <f t="shared" si="10"/>
        <v>207</v>
      </c>
      <c r="AL203" s="1">
        <f t="shared" si="11"/>
        <v>0.16312056737588654</v>
      </c>
    </row>
    <row r="204" spans="1:38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9"/>
        <v>1268</v>
      </c>
      <c r="AK204">
        <f t="shared" si="10"/>
        <v>207</v>
      </c>
      <c r="AL204" s="1">
        <f t="shared" si="11"/>
        <v>0.16324921135646689</v>
      </c>
    </row>
    <row r="205" spans="1:38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9"/>
        <v>1267</v>
      </c>
      <c r="AK205">
        <f t="shared" si="10"/>
        <v>207</v>
      </c>
      <c r="AL205" s="1">
        <f t="shared" si="11"/>
        <v>0.1633780584056827</v>
      </c>
    </row>
    <row r="206" spans="1:38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9"/>
        <v>1266</v>
      </c>
      <c r="AK206">
        <f t="shared" si="10"/>
        <v>207</v>
      </c>
      <c r="AL206" s="1">
        <f t="shared" si="11"/>
        <v>0.16350710900473933</v>
      </c>
    </row>
    <row r="207" spans="1:38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9"/>
        <v>1265</v>
      </c>
      <c r="AK207">
        <f t="shared" si="10"/>
        <v>206</v>
      </c>
      <c r="AL207" s="1">
        <f t="shared" si="11"/>
        <v>0.16284584980237155</v>
      </c>
    </row>
    <row r="208" spans="1:38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9"/>
        <v>1264</v>
      </c>
      <c r="AK208">
        <f t="shared" si="10"/>
        <v>205</v>
      </c>
      <c r="AL208" s="1">
        <f t="shared" si="11"/>
        <v>0.16218354430379747</v>
      </c>
    </row>
    <row r="209" spans="1:38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9"/>
        <v>1263</v>
      </c>
      <c r="AK209">
        <f t="shared" si="10"/>
        <v>205</v>
      </c>
      <c r="AL209" s="1">
        <f t="shared" si="11"/>
        <v>0.1623119556611243</v>
      </c>
    </row>
    <row r="210" spans="1:38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9"/>
        <v>1262</v>
      </c>
      <c r="AK210">
        <f t="shared" si="10"/>
        <v>205</v>
      </c>
      <c r="AL210" s="1">
        <f t="shared" si="11"/>
        <v>0.16244057052297939</v>
      </c>
    </row>
    <row r="211" spans="1:38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9"/>
        <v>1261</v>
      </c>
      <c r="AK211">
        <f t="shared" si="10"/>
        <v>205</v>
      </c>
      <c r="AL211" s="1">
        <f t="shared" si="11"/>
        <v>0.16256938937351309</v>
      </c>
    </row>
    <row r="212" spans="1:38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9"/>
        <v>1260</v>
      </c>
      <c r="AK212">
        <f t="shared" si="10"/>
        <v>205</v>
      </c>
      <c r="AL212" s="1">
        <f t="shared" si="11"/>
        <v>0.1626984126984127</v>
      </c>
    </row>
    <row r="213" spans="1:38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9"/>
        <v>1259</v>
      </c>
      <c r="AK213">
        <f t="shared" si="10"/>
        <v>204</v>
      </c>
      <c r="AL213" s="1">
        <f t="shared" si="11"/>
        <v>0.16203335980937253</v>
      </c>
    </row>
    <row r="214" spans="1:38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9"/>
        <v>1258</v>
      </c>
      <c r="AK214">
        <f t="shared" si="10"/>
        <v>204</v>
      </c>
      <c r="AL214" s="1">
        <f t="shared" si="11"/>
        <v>0.16216216216216217</v>
      </c>
    </row>
    <row r="215" spans="1:38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9"/>
        <v>1257</v>
      </c>
      <c r="AK215">
        <f t="shared" si="10"/>
        <v>204</v>
      </c>
      <c r="AL215" s="1">
        <f t="shared" si="11"/>
        <v>0.162291169451074</v>
      </c>
    </row>
    <row r="216" spans="1:38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9"/>
        <v>1256</v>
      </c>
      <c r="AK216">
        <f t="shared" si="10"/>
        <v>204</v>
      </c>
      <c r="AL216" s="1">
        <f t="shared" si="11"/>
        <v>0.16242038216560509</v>
      </c>
    </row>
    <row r="217" spans="1:38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9"/>
        <v>1255</v>
      </c>
      <c r="AK217">
        <f t="shared" si="10"/>
        <v>203</v>
      </c>
      <c r="AL217" s="1">
        <f t="shared" si="11"/>
        <v>0.16175298804780877</v>
      </c>
    </row>
    <row r="218" spans="1:38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9"/>
        <v>1254</v>
      </c>
      <c r="AK218">
        <f t="shared" si="10"/>
        <v>203</v>
      </c>
      <c r="AL218" s="1">
        <f t="shared" si="11"/>
        <v>0.16188197767145135</v>
      </c>
    </row>
    <row r="219" spans="1:38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9"/>
        <v>1253</v>
      </c>
      <c r="AK219">
        <f t="shared" si="10"/>
        <v>202</v>
      </c>
      <c r="AL219" s="1">
        <f t="shared" si="11"/>
        <v>0.16121308858739025</v>
      </c>
    </row>
    <row r="220" spans="1:38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9"/>
        <v>1252</v>
      </c>
      <c r="AK220">
        <f t="shared" si="10"/>
        <v>201</v>
      </c>
      <c r="AL220" s="1">
        <f t="shared" si="11"/>
        <v>0.16054313099041534</v>
      </c>
    </row>
    <row r="221" spans="1:38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9"/>
        <v>1251</v>
      </c>
      <c r="AK221">
        <f t="shared" si="10"/>
        <v>201</v>
      </c>
      <c r="AL221" s="1">
        <f t="shared" si="11"/>
        <v>0.16067146282973621</v>
      </c>
    </row>
    <row r="222" spans="1:38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9"/>
        <v>1250</v>
      </c>
      <c r="AK222">
        <f t="shared" si="10"/>
        <v>201</v>
      </c>
      <c r="AL222" s="1">
        <f t="shared" si="11"/>
        <v>0.1608</v>
      </c>
    </row>
    <row r="223" spans="1:38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9"/>
        <v>1249</v>
      </c>
      <c r="AK223">
        <f t="shared" si="10"/>
        <v>201</v>
      </c>
      <c r="AL223" s="1">
        <f t="shared" si="11"/>
        <v>0.16092874299439552</v>
      </c>
    </row>
    <row r="224" spans="1:38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9"/>
        <v>1248</v>
      </c>
      <c r="AK224">
        <f t="shared" si="10"/>
        <v>201</v>
      </c>
      <c r="AL224" s="1">
        <f t="shared" si="11"/>
        <v>0.16105769230769232</v>
      </c>
    </row>
    <row r="225" spans="1:38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9"/>
        <v>1247</v>
      </c>
      <c r="AK225">
        <f t="shared" si="10"/>
        <v>201</v>
      </c>
      <c r="AL225" s="1">
        <f t="shared" si="11"/>
        <v>0.161186848436247</v>
      </c>
    </row>
    <row r="226" spans="1:38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9"/>
        <v>1246</v>
      </c>
      <c r="AK226">
        <f t="shared" si="10"/>
        <v>201</v>
      </c>
      <c r="AL226" s="1">
        <f t="shared" si="11"/>
        <v>0.16131621187800962</v>
      </c>
    </row>
    <row r="227" spans="1:38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9"/>
        <v>1245</v>
      </c>
      <c r="AK227">
        <f t="shared" si="10"/>
        <v>201</v>
      </c>
      <c r="AL227" s="1">
        <f t="shared" si="11"/>
        <v>0.16144578313253011</v>
      </c>
    </row>
    <row r="228" spans="1:38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9"/>
        <v>1244</v>
      </c>
      <c r="AK228">
        <f t="shared" si="10"/>
        <v>201</v>
      </c>
      <c r="AL228" s="1">
        <f t="shared" si="11"/>
        <v>0.16157556270096463</v>
      </c>
    </row>
    <row r="229" spans="1:38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9"/>
        <v>1243</v>
      </c>
      <c r="AK229">
        <f t="shared" si="10"/>
        <v>201</v>
      </c>
      <c r="AL229" s="1">
        <f t="shared" si="11"/>
        <v>0.16170555108608206</v>
      </c>
    </row>
    <row r="230" spans="1:38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9"/>
        <v>1242</v>
      </c>
      <c r="AK230">
        <f t="shared" si="10"/>
        <v>201</v>
      </c>
      <c r="AL230" s="1">
        <f t="shared" si="11"/>
        <v>0.16183574879227053</v>
      </c>
    </row>
    <row r="231" spans="1:38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9"/>
        <v>1241</v>
      </c>
      <c r="AK231">
        <f t="shared" si="10"/>
        <v>201</v>
      </c>
      <c r="AL231" s="1">
        <f t="shared" si="11"/>
        <v>0.16196615632554393</v>
      </c>
    </row>
    <row r="232" spans="1:38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9"/>
        <v>1240</v>
      </c>
      <c r="AK232">
        <f t="shared" si="10"/>
        <v>200</v>
      </c>
      <c r="AL232" s="1">
        <f t="shared" si="11"/>
        <v>0.16129032258064516</v>
      </c>
    </row>
    <row r="233" spans="1:38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9"/>
        <v>1239</v>
      </c>
      <c r="AK233">
        <f t="shared" si="10"/>
        <v>200</v>
      </c>
      <c r="AL233" s="1">
        <f t="shared" si="11"/>
        <v>0.16142050040355124</v>
      </c>
    </row>
    <row r="234" spans="1:38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9"/>
        <v>1238</v>
      </c>
      <c r="AK234">
        <f t="shared" si="10"/>
        <v>200</v>
      </c>
      <c r="AL234" s="1">
        <f t="shared" si="11"/>
        <v>0.16155088852988692</v>
      </c>
    </row>
    <row r="235" spans="1:38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9"/>
        <v>1237</v>
      </c>
      <c r="AK235">
        <f t="shared" si="10"/>
        <v>200</v>
      </c>
      <c r="AL235" s="1">
        <f t="shared" si="11"/>
        <v>0.16168148746968472</v>
      </c>
    </row>
    <row r="236" spans="1:38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9"/>
        <v>1236</v>
      </c>
      <c r="AK236">
        <f t="shared" si="10"/>
        <v>200</v>
      </c>
      <c r="AL236" s="1">
        <f t="shared" si="11"/>
        <v>0.16181229773462782</v>
      </c>
    </row>
    <row r="237" spans="1:38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9"/>
        <v>1235</v>
      </c>
      <c r="AK237">
        <f t="shared" si="10"/>
        <v>199</v>
      </c>
      <c r="AL237" s="1">
        <f t="shared" si="11"/>
        <v>0.16113360323886639</v>
      </c>
    </row>
    <row r="238" spans="1:38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9"/>
        <v>1234</v>
      </c>
      <c r="AK238">
        <f t="shared" si="10"/>
        <v>199</v>
      </c>
      <c r="AL238" s="1">
        <f t="shared" si="11"/>
        <v>0.1612641815235008</v>
      </c>
    </row>
    <row r="239" spans="1:38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9"/>
        <v>1233</v>
      </c>
      <c r="AK239">
        <f t="shared" si="10"/>
        <v>198</v>
      </c>
      <c r="AL239" s="1">
        <f t="shared" si="11"/>
        <v>0.16058394160583941</v>
      </c>
    </row>
    <row r="240" spans="1:38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9"/>
        <v>1232</v>
      </c>
      <c r="AK240">
        <f t="shared" si="10"/>
        <v>198</v>
      </c>
      <c r="AL240" s="1">
        <f t="shared" si="11"/>
        <v>0.16071428571428573</v>
      </c>
    </row>
    <row r="241" spans="1:38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9"/>
        <v>1231</v>
      </c>
      <c r="AK241">
        <f t="shared" si="10"/>
        <v>198</v>
      </c>
      <c r="AL241" s="1">
        <f t="shared" si="11"/>
        <v>0.16084484159220147</v>
      </c>
    </row>
    <row r="242" spans="1:38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9"/>
        <v>1230</v>
      </c>
      <c r="AK242">
        <f t="shared" si="10"/>
        <v>197</v>
      </c>
      <c r="AL242" s="1">
        <f t="shared" si="11"/>
        <v>0.16016260162601625</v>
      </c>
    </row>
    <row r="243" spans="1:38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9"/>
        <v>1229</v>
      </c>
      <c r="AK243">
        <f t="shared" si="10"/>
        <v>197</v>
      </c>
      <c r="AL243" s="1">
        <f t="shared" si="11"/>
        <v>0.16029292107404394</v>
      </c>
    </row>
    <row r="244" spans="1:38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9"/>
        <v>1228</v>
      </c>
      <c r="AK244">
        <f t="shared" si="10"/>
        <v>197</v>
      </c>
      <c r="AL244" s="1">
        <f t="shared" si="11"/>
        <v>0.16042345276872963</v>
      </c>
    </row>
    <row r="245" spans="1:38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9"/>
        <v>1227</v>
      </c>
      <c r="AK245">
        <f t="shared" si="10"/>
        <v>197</v>
      </c>
      <c r="AL245" s="1">
        <f t="shared" si="11"/>
        <v>0.16055419722901385</v>
      </c>
    </row>
    <row r="246" spans="1:38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9"/>
        <v>1226</v>
      </c>
      <c r="AK246">
        <f t="shared" si="10"/>
        <v>197</v>
      </c>
      <c r="AL246" s="1">
        <f t="shared" si="11"/>
        <v>0.16068515497553018</v>
      </c>
    </row>
    <row r="247" spans="1:38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9"/>
        <v>1225</v>
      </c>
      <c r="AK247">
        <f t="shared" si="10"/>
        <v>197</v>
      </c>
      <c r="AL247" s="1">
        <f t="shared" si="11"/>
        <v>0.16081632653061226</v>
      </c>
    </row>
    <row r="248" spans="1:38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9"/>
        <v>1224</v>
      </c>
      <c r="AK248">
        <f t="shared" si="10"/>
        <v>197</v>
      </c>
      <c r="AL248" s="1">
        <f t="shared" si="11"/>
        <v>0.16094771241830066</v>
      </c>
    </row>
    <row r="249" spans="1:38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9"/>
        <v>1223</v>
      </c>
      <c r="AK249">
        <f t="shared" si="10"/>
        <v>197</v>
      </c>
      <c r="AL249" s="1">
        <f t="shared" si="11"/>
        <v>0.16107931316434995</v>
      </c>
    </row>
    <row r="250" spans="1:38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9"/>
        <v>1222</v>
      </c>
      <c r="AK250">
        <f t="shared" si="10"/>
        <v>197</v>
      </c>
      <c r="AL250" s="1">
        <f t="shared" si="11"/>
        <v>0.16121112929623568</v>
      </c>
    </row>
    <row r="251" spans="1:38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9"/>
        <v>1221</v>
      </c>
      <c r="AK251">
        <f t="shared" si="10"/>
        <v>197</v>
      </c>
      <c r="AL251" s="1">
        <f t="shared" si="11"/>
        <v>0.16134316134316135</v>
      </c>
    </row>
    <row r="252" spans="1:38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9"/>
        <v>1220</v>
      </c>
      <c r="AK252">
        <f t="shared" si="10"/>
        <v>197</v>
      </c>
      <c r="AL252" s="1">
        <f t="shared" si="11"/>
        <v>0.16147540983606556</v>
      </c>
    </row>
    <row r="253" spans="1:38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9"/>
        <v>1219</v>
      </c>
      <c r="AK253">
        <f t="shared" si="10"/>
        <v>196</v>
      </c>
      <c r="AL253" s="1">
        <f t="shared" si="11"/>
        <v>0.16078753076292043</v>
      </c>
    </row>
    <row r="254" spans="1:38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9"/>
        <v>1218</v>
      </c>
      <c r="AK254">
        <f t="shared" si="10"/>
        <v>196</v>
      </c>
      <c r="AL254" s="1">
        <f t="shared" si="11"/>
        <v>0.16091954022988506</v>
      </c>
    </row>
    <row r="255" spans="1:38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9"/>
        <v>1217</v>
      </c>
      <c r="AK255">
        <f t="shared" si="10"/>
        <v>196</v>
      </c>
      <c r="AL255" s="1">
        <f t="shared" si="11"/>
        <v>0.16105176663927692</v>
      </c>
    </row>
    <row r="256" spans="1:38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9"/>
        <v>1216</v>
      </c>
      <c r="AK256">
        <f t="shared" si="10"/>
        <v>196</v>
      </c>
      <c r="AL256" s="1">
        <f t="shared" si="11"/>
        <v>0.16118421052631579</v>
      </c>
    </row>
    <row r="257" spans="1:38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9"/>
        <v>1215</v>
      </c>
      <c r="AK257">
        <f t="shared" si="10"/>
        <v>196</v>
      </c>
      <c r="AL257" s="1">
        <f t="shared" si="11"/>
        <v>0.16131687242798354</v>
      </c>
    </row>
    <row r="258" spans="1:38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ref="AJ258:AJ321" si="12">COUNTA(A258:A1727)</f>
        <v>1214</v>
      </c>
      <c r="AK258">
        <f t="shared" ref="AK258:AK321" si="13">COUNTIF(B258:B1727, "Yes")</f>
        <v>196</v>
      </c>
      <c r="AL258" s="1">
        <f t="shared" ref="AL258:AL321" si="14">COUNTIF(B258:B1727, "Yes")/COUNTA(A258:A1727)</f>
        <v>0.16144975288303129</v>
      </c>
    </row>
    <row r="259" spans="1:38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si="12"/>
        <v>1213</v>
      </c>
      <c r="AK259">
        <f t="shared" si="13"/>
        <v>196</v>
      </c>
      <c r="AL259" s="1">
        <f t="shared" si="14"/>
        <v>0.16158285243198681</v>
      </c>
    </row>
    <row r="260" spans="1:38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12"/>
        <v>1212</v>
      </c>
      <c r="AK260">
        <f t="shared" si="13"/>
        <v>196</v>
      </c>
      <c r="AL260" s="1">
        <f t="shared" si="14"/>
        <v>0.1617161716171617</v>
      </c>
    </row>
    <row r="261" spans="1:38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12"/>
        <v>1211</v>
      </c>
      <c r="AK261">
        <f t="shared" si="13"/>
        <v>196</v>
      </c>
      <c r="AL261" s="1">
        <f t="shared" si="14"/>
        <v>0.16184971098265896</v>
      </c>
    </row>
    <row r="262" spans="1:38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12"/>
        <v>1210</v>
      </c>
      <c r="AK262">
        <f t="shared" si="13"/>
        <v>195</v>
      </c>
      <c r="AL262" s="1">
        <f t="shared" si="14"/>
        <v>0.16115702479338842</v>
      </c>
    </row>
    <row r="263" spans="1:38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12"/>
        <v>1209</v>
      </c>
      <c r="AK263">
        <f t="shared" si="13"/>
        <v>195</v>
      </c>
      <c r="AL263" s="1">
        <f t="shared" si="14"/>
        <v>0.16129032258064516</v>
      </c>
    </row>
    <row r="264" spans="1:38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12"/>
        <v>1208</v>
      </c>
      <c r="AK264">
        <f t="shared" si="13"/>
        <v>195</v>
      </c>
      <c r="AL264" s="1">
        <f t="shared" si="14"/>
        <v>0.16142384105960264</v>
      </c>
    </row>
    <row r="265" spans="1:38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12"/>
        <v>1207</v>
      </c>
      <c r="AK265">
        <f t="shared" si="13"/>
        <v>195</v>
      </c>
      <c r="AL265" s="1">
        <f t="shared" si="14"/>
        <v>0.1615575807787904</v>
      </c>
    </row>
    <row r="266" spans="1:38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12"/>
        <v>1206</v>
      </c>
      <c r="AK266">
        <f t="shared" si="13"/>
        <v>195</v>
      </c>
      <c r="AL266" s="1">
        <f t="shared" si="14"/>
        <v>0.16169154228855723</v>
      </c>
    </row>
    <row r="267" spans="1:38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12"/>
        <v>1205</v>
      </c>
      <c r="AK267">
        <f t="shared" si="13"/>
        <v>194</v>
      </c>
      <c r="AL267" s="1">
        <f t="shared" si="14"/>
        <v>0.16099585062240665</v>
      </c>
    </row>
    <row r="268" spans="1:38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12"/>
        <v>1204</v>
      </c>
      <c r="AK268">
        <f t="shared" si="13"/>
        <v>194</v>
      </c>
      <c r="AL268" s="1">
        <f t="shared" si="14"/>
        <v>0.16112956810631229</v>
      </c>
    </row>
    <row r="269" spans="1:38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12"/>
        <v>1203</v>
      </c>
      <c r="AK269">
        <f t="shared" si="13"/>
        <v>194</v>
      </c>
      <c r="AL269" s="1">
        <f t="shared" si="14"/>
        <v>0.16126350789692437</v>
      </c>
    </row>
    <row r="270" spans="1:38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12"/>
        <v>1202</v>
      </c>
      <c r="AK270">
        <f t="shared" si="13"/>
        <v>194</v>
      </c>
      <c r="AL270" s="1">
        <f t="shared" si="14"/>
        <v>0.16139767054908485</v>
      </c>
    </row>
    <row r="271" spans="1:38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12"/>
        <v>1201</v>
      </c>
      <c r="AK271">
        <f t="shared" si="13"/>
        <v>194</v>
      </c>
      <c r="AL271" s="1">
        <f t="shared" si="14"/>
        <v>0.16153205661948378</v>
      </c>
    </row>
    <row r="272" spans="1:38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12"/>
        <v>1200</v>
      </c>
      <c r="AK272">
        <f t="shared" si="13"/>
        <v>194</v>
      </c>
      <c r="AL272" s="1">
        <f t="shared" si="14"/>
        <v>0.16166666666666665</v>
      </c>
    </row>
    <row r="273" spans="1:38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12"/>
        <v>1199</v>
      </c>
      <c r="AK273">
        <f t="shared" si="13"/>
        <v>194</v>
      </c>
      <c r="AL273" s="1">
        <f t="shared" si="14"/>
        <v>0.16180150125104253</v>
      </c>
    </row>
    <row r="274" spans="1:38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12"/>
        <v>1198</v>
      </c>
      <c r="AK274">
        <f t="shared" si="13"/>
        <v>193</v>
      </c>
      <c r="AL274" s="1">
        <f t="shared" si="14"/>
        <v>0.16110183639398998</v>
      </c>
    </row>
    <row r="275" spans="1:38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12"/>
        <v>1197</v>
      </c>
      <c r="AK275">
        <f t="shared" si="13"/>
        <v>193</v>
      </c>
      <c r="AL275" s="1">
        <f t="shared" si="14"/>
        <v>0.16123642439431912</v>
      </c>
    </row>
    <row r="276" spans="1:38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12"/>
        <v>1196</v>
      </c>
      <c r="AK276">
        <f t="shared" si="13"/>
        <v>193</v>
      </c>
      <c r="AL276" s="1">
        <f t="shared" si="14"/>
        <v>0.16137123745819398</v>
      </c>
    </row>
    <row r="277" spans="1:38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12"/>
        <v>1195</v>
      </c>
      <c r="AK277">
        <f t="shared" si="13"/>
        <v>193</v>
      </c>
      <c r="AL277" s="1">
        <f t="shared" si="14"/>
        <v>0.16150627615062763</v>
      </c>
    </row>
    <row r="278" spans="1:38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12"/>
        <v>1194</v>
      </c>
      <c r="AK278">
        <f t="shared" si="13"/>
        <v>193</v>
      </c>
      <c r="AL278" s="1">
        <f t="shared" si="14"/>
        <v>0.16164154103852596</v>
      </c>
    </row>
    <row r="279" spans="1:38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12"/>
        <v>1193</v>
      </c>
      <c r="AK279">
        <f t="shared" si="13"/>
        <v>193</v>
      </c>
      <c r="AL279" s="1">
        <f t="shared" si="14"/>
        <v>0.16177703269069574</v>
      </c>
    </row>
    <row r="280" spans="1:38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12"/>
        <v>1192</v>
      </c>
      <c r="AK280">
        <f t="shared" si="13"/>
        <v>193</v>
      </c>
      <c r="AL280" s="1">
        <f t="shared" si="14"/>
        <v>0.16191275167785235</v>
      </c>
    </row>
    <row r="281" spans="1:38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12"/>
        <v>1191</v>
      </c>
      <c r="AK281">
        <f t="shared" si="13"/>
        <v>193</v>
      </c>
      <c r="AL281" s="1">
        <f t="shared" si="14"/>
        <v>0.16204869857262805</v>
      </c>
    </row>
    <row r="282" spans="1:38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12"/>
        <v>1190</v>
      </c>
      <c r="AK282">
        <f t="shared" si="13"/>
        <v>193</v>
      </c>
      <c r="AL282" s="1">
        <f t="shared" si="14"/>
        <v>0.16218487394957984</v>
      </c>
    </row>
    <row r="283" spans="1:38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12"/>
        <v>1189</v>
      </c>
      <c r="AK283">
        <f t="shared" si="13"/>
        <v>193</v>
      </c>
      <c r="AL283" s="1">
        <f t="shared" si="14"/>
        <v>0.16232127838519764</v>
      </c>
    </row>
    <row r="284" spans="1:38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12"/>
        <v>1188</v>
      </c>
      <c r="AK284">
        <f t="shared" si="13"/>
        <v>193</v>
      </c>
      <c r="AL284" s="1">
        <f t="shared" si="14"/>
        <v>0.16245791245791247</v>
      </c>
    </row>
    <row r="285" spans="1:38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12"/>
        <v>1187</v>
      </c>
      <c r="AK285">
        <f t="shared" si="13"/>
        <v>193</v>
      </c>
      <c r="AL285" s="1">
        <f t="shared" si="14"/>
        <v>0.16259477674810446</v>
      </c>
    </row>
    <row r="286" spans="1:38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12"/>
        <v>1186</v>
      </c>
      <c r="AK286">
        <f t="shared" si="13"/>
        <v>193</v>
      </c>
      <c r="AL286" s="1">
        <f t="shared" si="14"/>
        <v>0.1627318718381113</v>
      </c>
    </row>
    <row r="287" spans="1:38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12"/>
        <v>1185</v>
      </c>
      <c r="AK287">
        <f t="shared" si="13"/>
        <v>193</v>
      </c>
      <c r="AL287" s="1">
        <f t="shared" si="14"/>
        <v>0.16286919831223629</v>
      </c>
    </row>
    <row r="288" spans="1:38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12"/>
        <v>1184</v>
      </c>
      <c r="AK288">
        <f t="shared" si="13"/>
        <v>193</v>
      </c>
      <c r="AL288" s="1">
        <f t="shared" si="14"/>
        <v>0.16300675675675674</v>
      </c>
    </row>
    <row r="289" spans="1:38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12"/>
        <v>1183</v>
      </c>
      <c r="AK289">
        <f t="shared" si="13"/>
        <v>192</v>
      </c>
      <c r="AL289" s="1">
        <f t="shared" si="14"/>
        <v>0.16229923922231615</v>
      </c>
    </row>
    <row r="290" spans="1:38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12"/>
        <v>1182</v>
      </c>
      <c r="AK290">
        <f t="shared" si="13"/>
        <v>192</v>
      </c>
      <c r="AL290" s="1">
        <f t="shared" si="14"/>
        <v>0.16243654822335024</v>
      </c>
    </row>
    <row r="291" spans="1:38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12"/>
        <v>1181</v>
      </c>
      <c r="AK291">
        <f t="shared" si="13"/>
        <v>191</v>
      </c>
      <c r="AL291" s="1">
        <f t="shared" si="14"/>
        <v>0.16172734970364097</v>
      </c>
    </row>
    <row r="292" spans="1:38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12"/>
        <v>1180</v>
      </c>
      <c r="AK292">
        <f t="shared" si="13"/>
        <v>191</v>
      </c>
      <c r="AL292" s="1">
        <f t="shared" si="14"/>
        <v>0.16186440677966102</v>
      </c>
    </row>
    <row r="293" spans="1:38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12"/>
        <v>1179</v>
      </c>
      <c r="AK293">
        <f t="shared" si="13"/>
        <v>191</v>
      </c>
      <c r="AL293" s="1">
        <f t="shared" si="14"/>
        <v>0.1620016963528414</v>
      </c>
    </row>
    <row r="294" spans="1:38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12"/>
        <v>1178</v>
      </c>
      <c r="AK294">
        <f t="shared" si="13"/>
        <v>191</v>
      </c>
      <c r="AL294" s="1">
        <f t="shared" si="14"/>
        <v>0.16213921901528014</v>
      </c>
    </row>
    <row r="295" spans="1:38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12"/>
        <v>1177</v>
      </c>
      <c r="AK295">
        <f t="shared" si="13"/>
        <v>191</v>
      </c>
      <c r="AL295" s="1">
        <f t="shared" si="14"/>
        <v>0.16227697536108751</v>
      </c>
    </row>
    <row r="296" spans="1:38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12"/>
        <v>1176</v>
      </c>
      <c r="AK296">
        <f t="shared" si="13"/>
        <v>190</v>
      </c>
      <c r="AL296" s="1">
        <f t="shared" si="14"/>
        <v>0.16156462585034015</v>
      </c>
    </row>
    <row r="297" spans="1:38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12"/>
        <v>1175</v>
      </c>
      <c r="AK297">
        <f t="shared" si="13"/>
        <v>190</v>
      </c>
      <c r="AL297" s="1">
        <f t="shared" si="14"/>
        <v>0.16170212765957448</v>
      </c>
    </row>
    <row r="298" spans="1:38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12"/>
        <v>1174</v>
      </c>
      <c r="AK298">
        <f t="shared" si="13"/>
        <v>190</v>
      </c>
      <c r="AL298" s="1">
        <f t="shared" si="14"/>
        <v>0.16183986371379896</v>
      </c>
    </row>
    <row r="299" spans="1:38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12"/>
        <v>1173</v>
      </c>
      <c r="AK299">
        <f t="shared" si="13"/>
        <v>189</v>
      </c>
      <c r="AL299" s="1">
        <f t="shared" si="14"/>
        <v>0.16112531969309463</v>
      </c>
    </row>
    <row r="300" spans="1:38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12"/>
        <v>1172</v>
      </c>
      <c r="AK300">
        <f t="shared" si="13"/>
        <v>189</v>
      </c>
      <c r="AL300" s="1">
        <f t="shared" si="14"/>
        <v>0.1612627986348123</v>
      </c>
    </row>
    <row r="301" spans="1:38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12"/>
        <v>1171</v>
      </c>
      <c r="AK301">
        <f t="shared" si="13"/>
        <v>189</v>
      </c>
      <c r="AL301" s="1">
        <f t="shared" si="14"/>
        <v>0.16140051238257899</v>
      </c>
    </row>
    <row r="302" spans="1:38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12"/>
        <v>1170</v>
      </c>
      <c r="AK302">
        <f t="shared" si="13"/>
        <v>189</v>
      </c>
      <c r="AL302" s="1">
        <f t="shared" si="14"/>
        <v>0.16153846153846155</v>
      </c>
    </row>
    <row r="303" spans="1:38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12"/>
        <v>1169</v>
      </c>
      <c r="AK303">
        <f t="shared" si="13"/>
        <v>189</v>
      </c>
      <c r="AL303" s="1">
        <f t="shared" si="14"/>
        <v>0.16167664670658682</v>
      </c>
    </row>
    <row r="304" spans="1:38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12"/>
        <v>1168</v>
      </c>
      <c r="AK304">
        <f t="shared" si="13"/>
        <v>189</v>
      </c>
      <c r="AL304" s="1">
        <f t="shared" si="14"/>
        <v>0.16181506849315069</v>
      </c>
    </row>
    <row r="305" spans="1:38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12"/>
        <v>1167</v>
      </c>
      <c r="AK305">
        <f t="shared" si="13"/>
        <v>189</v>
      </c>
      <c r="AL305" s="1">
        <f t="shared" si="14"/>
        <v>0.16195372750642673</v>
      </c>
    </row>
    <row r="306" spans="1:38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12"/>
        <v>1166</v>
      </c>
      <c r="AK306">
        <f t="shared" si="13"/>
        <v>189</v>
      </c>
      <c r="AL306" s="1">
        <f t="shared" si="14"/>
        <v>0.16209262435677529</v>
      </c>
    </row>
    <row r="307" spans="1:38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12"/>
        <v>1165</v>
      </c>
      <c r="AK307">
        <f t="shared" si="13"/>
        <v>189</v>
      </c>
      <c r="AL307" s="1">
        <f t="shared" si="14"/>
        <v>0.16223175965665235</v>
      </c>
    </row>
    <row r="308" spans="1:38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12"/>
        <v>1164</v>
      </c>
      <c r="AK308">
        <f t="shared" si="13"/>
        <v>189</v>
      </c>
      <c r="AL308" s="1">
        <f t="shared" si="14"/>
        <v>0.16237113402061856</v>
      </c>
    </row>
    <row r="309" spans="1:38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12"/>
        <v>1163</v>
      </c>
      <c r="AK309">
        <f t="shared" si="13"/>
        <v>189</v>
      </c>
      <c r="AL309" s="1">
        <f t="shared" si="14"/>
        <v>0.16251074806534824</v>
      </c>
    </row>
    <row r="310" spans="1:38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12"/>
        <v>1162</v>
      </c>
      <c r="AK310">
        <f t="shared" si="13"/>
        <v>189</v>
      </c>
      <c r="AL310" s="1">
        <f t="shared" si="14"/>
        <v>0.16265060240963855</v>
      </c>
    </row>
    <row r="311" spans="1:38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12"/>
        <v>1161</v>
      </c>
      <c r="AK311">
        <f t="shared" si="13"/>
        <v>189</v>
      </c>
      <c r="AL311" s="1">
        <f t="shared" si="14"/>
        <v>0.16279069767441862</v>
      </c>
    </row>
    <row r="312" spans="1:38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12"/>
        <v>1160</v>
      </c>
      <c r="AK312">
        <f t="shared" si="13"/>
        <v>189</v>
      </c>
      <c r="AL312" s="1">
        <f t="shared" si="14"/>
        <v>0.16293103448275861</v>
      </c>
    </row>
    <row r="313" spans="1:38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12"/>
        <v>1159</v>
      </c>
      <c r="AK313">
        <f t="shared" si="13"/>
        <v>189</v>
      </c>
      <c r="AL313" s="1">
        <f t="shared" si="14"/>
        <v>0.16307161345987919</v>
      </c>
    </row>
    <row r="314" spans="1:38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12"/>
        <v>1158</v>
      </c>
      <c r="AK314">
        <f t="shared" si="13"/>
        <v>189</v>
      </c>
      <c r="AL314" s="1">
        <f t="shared" si="14"/>
        <v>0.16321243523316062</v>
      </c>
    </row>
    <row r="315" spans="1:38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12"/>
        <v>1157</v>
      </c>
      <c r="AK315">
        <f t="shared" si="13"/>
        <v>189</v>
      </c>
      <c r="AL315" s="1">
        <f t="shared" si="14"/>
        <v>0.1633535004321521</v>
      </c>
    </row>
    <row r="316" spans="1:38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12"/>
        <v>1156</v>
      </c>
      <c r="AK316">
        <f t="shared" si="13"/>
        <v>189</v>
      </c>
      <c r="AL316" s="1">
        <f t="shared" si="14"/>
        <v>0.16349480968858132</v>
      </c>
    </row>
    <row r="317" spans="1:38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12"/>
        <v>1155</v>
      </c>
      <c r="AK317">
        <f t="shared" si="13"/>
        <v>189</v>
      </c>
      <c r="AL317" s="1">
        <f t="shared" si="14"/>
        <v>0.16363636363636364</v>
      </c>
    </row>
    <row r="318" spans="1:38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12"/>
        <v>1154</v>
      </c>
      <c r="AK318">
        <f t="shared" si="13"/>
        <v>189</v>
      </c>
      <c r="AL318" s="1">
        <f t="shared" si="14"/>
        <v>0.16377816291161179</v>
      </c>
    </row>
    <row r="319" spans="1:38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12"/>
        <v>1153</v>
      </c>
      <c r="AK319">
        <f t="shared" si="13"/>
        <v>189</v>
      </c>
      <c r="AL319" s="1">
        <f t="shared" si="14"/>
        <v>0.16392020815264527</v>
      </c>
    </row>
    <row r="320" spans="1:38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12"/>
        <v>1152</v>
      </c>
      <c r="AK320">
        <f t="shared" si="13"/>
        <v>188</v>
      </c>
      <c r="AL320" s="1">
        <f t="shared" si="14"/>
        <v>0.16319444444444445</v>
      </c>
    </row>
    <row r="321" spans="1:38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12"/>
        <v>1151</v>
      </c>
      <c r="AK321">
        <f t="shared" si="13"/>
        <v>188</v>
      </c>
      <c r="AL321" s="1">
        <f t="shared" si="14"/>
        <v>0.16333622936576889</v>
      </c>
    </row>
    <row r="322" spans="1:38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ref="AJ322:AJ385" si="15">COUNTA(A322:A1791)</f>
        <v>1150</v>
      </c>
      <c r="AK322">
        <f t="shared" ref="AK322:AK385" si="16">COUNTIF(B322:B1791, "Yes")</f>
        <v>188</v>
      </c>
      <c r="AL322" s="1">
        <f t="shared" ref="AL322:AL385" si="17">COUNTIF(B322:B1791, "Yes")/COUNTA(A322:A1791)</f>
        <v>0.16347826086956521</v>
      </c>
    </row>
    <row r="323" spans="1:38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si="15"/>
        <v>1149</v>
      </c>
      <c r="AK323">
        <f t="shared" si="16"/>
        <v>188</v>
      </c>
      <c r="AL323" s="1">
        <f t="shared" si="17"/>
        <v>0.16362053959965187</v>
      </c>
    </row>
    <row r="324" spans="1:38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15"/>
        <v>1148</v>
      </c>
      <c r="AK324">
        <f t="shared" si="16"/>
        <v>188</v>
      </c>
      <c r="AL324" s="1">
        <f t="shared" si="17"/>
        <v>0.16376306620209058</v>
      </c>
    </row>
    <row r="325" spans="1:38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15"/>
        <v>1147</v>
      </c>
      <c r="AK325">
        <f t="shared" si="16"/>
        <v>188</v>
      </c>
      <c r="AL325" s="1">
        <f t="shared" si="17"/>
        <v>0.16390584132519617</v>
      </c>
    </row>
    <row r="326" spans="1:38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15"/>
        <v>1146</v>
      </c>
      <c r="AK326">
        <f t="shared" si="16"/>
        <v>187</v>
      </c>
      <c r="AL326" s="1">
        <f t="shared" si="17"/>
        <v>0.1631762652705061</v>
      </c>
    </row>
    <row r="327" spans="1:38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15"/>
        <v>1145</v>
      </c>
      <c r="AK327">
        <f t="shared" si="16"/>
        <v>187</v>
      </c>
      <c r="AL327" s="1">
        <f t="shared" si="17"/>
        <v>0.16331877729257641</v>
      </c>
    </row>
    <row r="328" spans="1:38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15"/>
        <v>1144</v>
      </c>
      <c r="AK328">
        <f t="shared" si="16"/>
        <v>187</v>
      </c>
      <c r="AL328" s="1">
        <f t="shared" si="17"/>
        <v>0.16346153846153846</v>
      </c>
    </row>
    <row r="329" spans="1:38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15"/>
        <v>1143</v>
      </c>
      <c r="AK329">
        <f t="shared" si="16"/>
        <v>187</v>
      </c>
      <c r="AL329" s="1">
        <f t="shared" si="17"/>
        <v>0.16360454943132108</v>
      </c>
    </row>
    <row r="330" spans="1:38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15"/>
        <v>1142</v>
      </c>
      <c r="AK330">
        <f t="shared" si="16"/>
        <v>186</v>
      </c>
      <c r="AL330" s="1">
        <f t="shared" si="17"/>
        <v>0.1628721541155867</v>
      </c>
    </row>
    <row r="331" spans="1:38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15"/>
        <v>1141</v>
      </c>
      <c r="AK331">
        <f t="shared" si="16"/>
        <v>186</v>
      </c>
      <c r="AL331" s="1">
        <f t="shared" si="17"/>
        <v>0.16301489921121823</v>
      </c>
    </row>
    <row r="332" spans="1:38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15"/>
        <v>1140</v>
      </c>
      <c r="AK332">
        <f t="shared" si="16"/>
        <v>186</v>
      </c>
      <c r="AL332" s="1">
        <f t="shared" si="17"/>
        <v>0.16315789473684211</v>
      </c>
    </row>
    <row r="333" spans="1:38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15"/>
        <v>1139</v>
      </c>
      <c r="AK333">
        <f t="shared" si="16"/>
        <v>186</v>
      </c>
      <c r="AL333" s="1">
        <f t="shared" si="17"/>
        <v>0.16330114135206322</v>
      </c>
    </row>
    <row r="334" spans="1:38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15"/>
        <v>1138</v>
      </c>
      <c r="AK334">
        <f t="shared" si="16"/>
        <v>186</v>
      </c>
      <c r="AL334" s="1">
        <f t="shared" si="17"/>
        <v>0.16344463971880491</v>
      </c>
    </row>
    <row r="335" spans="1:38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15"/>
        <v>1137</v>
      </c>
      <c r="AK335">
        <f t="shared" si="16"/>
        <v>186</v>
      </c>
      <c r="AL335" s="1">
        <f t="shared" si="17"/>
        <v>0.16358839050131926</v>
      </c>
    </row>
    <row r="336" spans="1:38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15"/>
        <v>1136</v>
      </c>
      <c r="AK336">
        <f t="shared" si="16"/>
        <v>186</v>
      </c>
      <c r="AL336" s="1">
        <f t="shared" si="17"/>
        <v>0.16373239436619719</v>
      </c>
    </row>
    <row r="337" spans="1:38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15"/>
        <v>1135</v>
      </c>
      <c r="AK337">
        <f t="shared" si="16"/>
        <v>186</v>
      </c>
      <c r="AL337" s="1">
        <f t="shared" si="17"/>
        <v>0.16387665198237886</v>
      </c>
    </row>
    <row r="338" spans="1:38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15"/>
        <v>1134</v>
      </c>
      <c r="AK338">
        <f t="shared" si="16"/>
        <v>186</v>
      </c>
      <c r="AL338" s="1">
        <f t="shared" si="17"/>
        <v>0.16402116402116401</v>
      </c>
    </row>
    <row r="339" spans="1:38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15"/>
        <v>1133</v>
      </c>
      <c r="AK339">
        <f t="shared" si="16"/>
        <v>185</v>
      </c>
      <c r="AL339" s="1">
        <f t="shared" si="17"/>
        <v>0.16328331862312445</v>
      </c>
    </row>
    <row r="340" spans="1:38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15"/>
        <v>1132</v>
      </c>
      <c r="AK340">
        <f t="shared" si="16"/>
        <v>185</v>
      </c>
      <c r="AL340" s="1">
        <f t="shared" si="17"/>
        <v>0.16342756183745583</v>
      </c>
    </row>
    <row r="341" spans="1:38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15"/>
        <v>1131</v>
      </c>
      <c r="AK341">
        <f t="shared" si="16"/>
        <v>185</v>
      </c>
      <c r="AL341" s="1">
        <f t="shared" si="17"/>
        <v>0.16357206012378425</v>
      </c>
    </row>
    <row r="342" spans="1:38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15"/>
        <v>1130</v>
      </c>
      <c r="AK342">
        <f t="shared" si="16"/>
        <v>185</v>
      </c>
      <c r="AL342" s="1">
        <f t="shared" si="17"/>
        <v>0.16371681415929204</v>
      </c>
    </row>
    <row r="343" spans="1:38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15"/>
        <v>1129</v>
      </c>
      <c r="AK343">
        <f t="shared" si="16"/>
        <v>185</v>
      </c>
      <c r="AL343" s="1">
        <f t="shared" si="17"/>
        <v>0.16386182462356066</v>
      </c>
    </row>
    <row r="344" spans="1:38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15"/>
        <v>1128</v>
      </c>
      <c r="AK344">
        <f t="shared" si="16"/>
        <v>185</v>
      </c>
      <c r="AL344" s="1">
        <f t="shared" si="17"/>
        <v>0.16400709219858156</v>
      </c>
    </row>
    <row r="345" spans="1:38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15"/>
        <v>1127</v>
      </c>
      <c r="AK345">
        <f t="shared" si="16"/>
        <v>185</v>
      </c>
      <c r="AL345" s="1">
        <f t="shared" si="17"/>
        <v>0.16415261756876665</v>
      </c>
    </row>
    <row r="346" spans="1:38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15"/>
        <v>1126</v>
      </c>
      <c r="AK346">
        <f t="shared" si="16"/>
        <v>185</v>
      </c>
      <c r="AL346" s="1">
        <f t="shared" si="17"/>
        <v>0.16429840142095914</v>
      </c>
    </row>
    <row r="347" spans="1:38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15"/>
        <v>1125</v>
      </c>
      <c r="AK347">
        <f t="shared" si="16"/>
        <v>185</v>
      </c>
      <c r="AL347" s="1">
        <f t="shared" si="17"/>
        <v>0.16444444444444445</v>
      </c>
    </row>
    <row r="348" spans="1:38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15"/>
        <v>1124</v>
      </c>
      <c r="AK348">
        <f t="shared" si="16"/>
        <v>185</v>
      </c>
      <c r="AL348" s="1">
        <f t="shared" si="17"/>
        <v>0.16459074733096085</v>
      </c>
    </row>
    <row r="349" spans="1:38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15"/>
        <v>1123</v>
      </c>
      <c r="AK349">
        <f t="shared" si="16"/>
        <v>185</v>
      </c>
      <c r="AL349" s="1">
        <f t="shared" si="17"/>
        <v>0.1647373107747106</v>
      </c>
    </row>
    <row r="350" spans="1:38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15"/>
        <v>1122</v>
      </c>
      <c r="AK350">
        <f t="shared" si="16"/>
        <v>185</v>
      </c>
      <c r="AL350" s="1">
        <f t="shared" si="17"/>
        <v>0.16488413547237077</v>
      </c>
    </row>
    <row r="351" spans="1:38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15"/>
        <v>1121</v>
      </c>
      <c r="AK351">
        <f t="shared" si="16"/>
        <v>185</v>
      </c>
      <c r="AL351" s="1">
        <f t="shared" si="17"/>
        <v>0.16503122212310437</v>
      </c>
    </row>
    <row r="352" spans="1:38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15"/>
        <v>1120</v>
      </c>
      <c r="AK352">
        <f t="shared" si="16"/>
        <v>185</v>
      </c>
      <c r="AL352" s="1">
        <f t="shared" si="17"/>
        <v>0.16517857142857142</v>
      </c>
    </row>
    <row r="353" spans="1:38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15"/>
        <v>1119</v>
      </c>
      <c r="AK353">
        <f t="shared" si="16"/>
        <v>185</v>
      </c>
      <c r="AL353" s="1">
        <f t="shared" si="17"/>
        <v>0.16532618409294011</v>
      </c>
    </row>
    <row r="354" spans="1:38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15"/>
        <v>1118</v>
      </c>
      <c r="AK354">
        <f t="shared" si="16"/>
        <v>185</v>
      </c>
      <c r="AL354" s="1">
        <f t="shared" si="17"/>
        <v>0.16547406082289803</v>
      </c>
    </row>
    <row r="355" spans="1:38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15"/>
        <v>1117</v>
      </c>
      <c r="AK355">
        <f t="shared" si="16"/>
        <v>185</v>
      </c>
      <c r="AL355" s="1">
        <f t="shared" si="17"/>
        <v>0.16562220232766339</v>
      </c>
    </row>
    <row r="356" spans="1:38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15"/>
        <v>1116</v>
      </c>
      <c r="AK356">
        <f t="shared" si="16"/>
        <v>185</v>
      </c>
      <c r="AL356" s="1">
        <f t="shared" si="17"/>
        <v>0.16577060931899643</v>
      </c>
    </row>
    <row r="357" spans="1:38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15"/>
        <v>1115</v>
      </c>
      <c r="AK357">
        <f t="shared" si="16"/>
        <v>185</v>
      </c>
      <c r="AL357" s="1">
        <f t="shared" si="17"/>
        <v>0.16591928251121077</v>
      </c>
    </row>
    <row r="358" spans="1:38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15"/>
        <v>1114</v>
      </c>
      <c r="AK358">
        <f t="shared" si="16"/>
        <v>185</v>
      </c>
      <c r="AL358" s="1">
        <f t="shared" si="17"/>
        <v>0.16606822262118492</v>
      </c>
    </row>
    <row r="359" spans="1:38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15"/>
        <v>1113</v>
      </c>
      <c r="AK359">
        <f t="shared" si="16"/>
        <v>185</v>
      </c>
      <c r="AL359" s="1">
        <f t="shared" si="17"/>
        <v>0.16621743036837378</v>
      </c>
    </row>
    <row r="360" spans="1:38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15"/>
        <v>1112</v>
      </c>
      <c r="AK360">
        <f t="shared" si="16"/>
        <v>184</v>
      </c>
      <c r="AL360" s="1">
        <f t="shared" si="17"/>
        <v>0.16546762589928057</v>
      </c>
    </row>
    <row r="361" spans="1:38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15"/>
        <v>1111</v>
      </c>
      <c r="AK361">
        <f t="shared" si="16"/>
        <v>184</v>
      </c>
      <c r="AL361" s="1">
        <f t="shared" si="17"/>
        <v>0.16561656165616562</v>
      </c>
    </row>
    <row r="362" spans="1:38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15"/>
        <v>1110</v>
      </c>
      <c r="AK362">
        <f t="shared" si="16"/>
        <v>184</v>
      </c>
      <c r="AL362" s="1">
        <f t="shared" si="17"/>
        <v>0.16576576576576577</v>
      </c>
    </row>
    <row r="363" spans="1:38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15"/>
        <v>1109</v>
      </c>
      <c r="AK363">
        <f t="shared" si="16"/>
        <v>184</v>
      </c>
      <c r="AL363" s="1">
        <f t="shared" si="17"/>
        <v>0.16591523895401261</v>
      </c>
    </row>
    <row r="364" spans="1:38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15"/>
        <v>1108</v>
      </c>
      <c r="AK364">
        <f t="shared" si="16"/>
        <v>184</v>
      </c>
      <c r="AL364" s="1">
        <f t="shared" si="17"/>
        <v>0.16606498194945848</v>
      </c>
    </row>
    <row r="365" spans="1:38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15"/>
        <v>1107</v>
      </c>
      <c r="AK365">
        <f t="shared" si="16"/>
        <v>184</v>
      </c>
      <c r="AL365" s="1">
        <f t="shared" si="17"/>
        <v>0.16621499548328816</v>
      </c>
    </row>
    <row r="366" spans="1:38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15"/>
        <v>1106</v>
      </c>
      <c r="AK366">
        <f t="shared" si="16"/>
        <v>183</v>
      </c>
      <c r="AL366" s="1">
        <f t="shared" si="17"/>
        <v>0.1654611211573237</v>
      </c>
    </row>
    <row r="367" spans="1:38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15"/>
        <v>1105</v>
      </c>
      <c r="AK367">
        <f t="shared" si="16"/>
        <v>183</v>
      </c>
      <c r="AL367" s="1">
        <f t="shared" si="17"/>
        <v>0.16561085972850678</v>
      </c>
    </row>
    <row r="368" spans="1:38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15"/>
        <v>1104</v>
      </c>
      <c r="AK368">
        <f t="shared" si="16"/>
        <v>183</v>
      </c>
      <c r="AL368" s="1">
        <f t="shared" si="17"/>
        <v>0.16576086956521738</v>
      </c>
    </row>
    <row r="369" spans="1:38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15"/>
        <v>1103</v>
      </c>
      <c r="AK369">
        <f t="shared" si="16"/>
        <v>182</v>
      </c>
      <c r="AL369" s="1">
        <f t="shared" si="17"/>
        <v>0.16500453309156846</v>
      </c>
    </row>
    <row r="370" spans="1:38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15"/>
        <v>1102</v>
      </c>
      <c r="AK370">
        <f t="shared" si="16"/>
        <v>182</v>
      </c>
      <c r="AL370" s="1">
        <f t="shared" si="17"/>
        <v>0.16515426497277677</v>
      </c>
    </row>
    <row r="371" spans="1:38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15"/>
        <v>1101</v>
      </c>
      <c r="AK371">
        <f t="shared" si="16"/>
        <v>181</v>
      </c>
      <c r="AL371" s="1">
        <f t="shared" si="17"/>
        <v>0.16439600363306087</v>
      </c>
    </row>
    <row r="372" spans="1:38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15"/>
        <v>1100</v>
      </c>
      <c r="AK372">
        <f t="shared" si="16"/>
        <v>181</v>
      </c>
      <c r="AL372" s="1">
        <f t="shared" si="17"/>
        <v>0.16454545454545455</v>
      </c>
    </row>
    <row r="373" spans="1:38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15"/>
        <v>1099</v>
      </c>
      <c r="AK373">
        <f t="shared" si="16"/>
        <v>180</v>
      </c>
      <c r="AL373" s="1">
        <f t="shared" si="17"/>
        <v>0.1637852593266606</v>
      </c>
    </row>
    <row r="374" spans="1:38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15"/>
        <v>1098</v>
      </c>
      <c r="AK374">
        <f t="shared" si="16"/>
        <v>180</v>
      </c>
      <c r="AL374" s="1">
        <f t="shared" si="17"/>
        <v>0.16393442622950818</v>
      </c>
    </row>
    <row r="375" spans="1:38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15"/>
        <v>1097</v>
      </c>
      <c r="AK375">
        <f t="shared" si="16"/>
        <v>180</v>
      </c>
      <c r="AL375" s="1">
        <f t="shared" si="17"/>
        <v>0.16408386508659981</v>
      </c>
    </row>
    <row r="376" spans="1:38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15"/>
        <v>1096</v>
      </c>
      <c r="AK376">
        <f t="shared" si="16"/>
        <v>180</v>
      </c>
      <c r="AL376" s="1">
        <f t="shared" si="17"/>
        <v>0.16423357664233576</v>
      </c>
    </row>
    <row r="377" spans="1:38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15"/>
        <v>1095</v>
      </c>
      <c r="AK377">
        <f t="shared" si="16"/>
        <v>180</v>
      </c>
      <c r="AL377" s="1">
        <f t="shared" si="17"/>
        <v>0.16438356164383561</v>
      </c>
    </row>
    <row r="378" spans="1:38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15"/>
        <v>1094</v>
      </c>
      <c r="AK378">
        <f t="shared" si="16"/>
        <v>180</v>
      </c>
      <c r="AL378" s="1">
        <f t="shared" si="17"/>
        <v>0.16453382084095064</v>
      </c>
    </row>
    <row r="379" spans="1:38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15"/>
        <v>1093</v>
      </c>
      <c r="AK379">
        <f t="shared" si="16"/>
        <v>180</v>
      </c>
      <c r="AL379" s="1">
        <f t="shared" si="17"/>
        <v>0.16468435498627632</v>
      </c>
    </row>
    <row r="380" spans="1:38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15"/>
        <v>1092</v>
      </c>
      <c r="AK380">
        <f t="shared" si="16"/>
        <v>180</v>
      </c>
      <c r="AL380" s="1">
        <f t="shared" si="17"/>
        <v>0.16483516483516483</v>
      </c>
    </row>
    <row r="381" spans="1:38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15"/>
        <v>1091</v>
      </c>
      <c r="AK381">
        <f t="shared" si="16"/>
        <v>179</v>
      </c>
      <c r="AL381" s="1">
        <f t="shared" si="17"/>
        <v>0.16406966086159486</v>
      </c>
    </row>
    <row r="382" spans="1:38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15"/>
        <v>1090</v>
      </c>
      <c r="AK382">
        <f t="shared" si="16"/>
        <v>179</v>
      </c>
      <c r="AL382" s="1">
        <f t="shared" si="17"/>
        <v>0.16422018348623854</v>
      </c>
    </row>
    <row r="383" spans="1:38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15"/>
        <v>1089</v>
      </c>
      <c r="AK383">
        <f t="shared" si="16"/>
        <v>179</v>
      </c>
      <c r="AL383" s="1">
        <f t="shared" si="17"/>
        <v>0.16437098255280075</v>
      </c>
    </row>
    <row r="384" spans="1:38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15"/>
        <v>1088</v>
      </c>
      <c r="AK384">
        <f t="shared" si="16"/>
        <v>179</v>
      </c>
      <c r="AL384" s="1">
        <f t="shared" si="17"/>
        <v>0.16452205882352941</v>
      </c>
    </row>
    <row r="385" spans="1:38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15"/>
        <v>1087</v>
      </c>
      <c r="AK385">
        <f t="shared" si="16"/>
        <v>178</v>
      </c>
      <c r="AL385" s="1">
        <f t="shared" si="17"/>
        <v>0.16375344986200552</v>
      </c>
    </row>
    <row r="386" spans="1:38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ref="AJ386:AJ449" si="18">COUNTA(A386:A1855)</f>
        <v>1086</v>
      </c>
      <c r="AK386">
        <f t="shared" ref="AK386:AK449" si="19">COUNTIF(B386:B1855, "Yes")</f>
        <v>178</v>
      </c>
      <c r="AL386" s="1">
        <f t="shared" ref="AL386:AL449" si="20">COUNTIF(B386:B1855, "Yes")/COUNTA(A386:A1855)</f>
        <v>0.16390423572744015</v>
      </c>
    </row>
    <row r="387" spans="1:38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si="18"/>
        <v>1085</v>
      </c>
      <c r="AK387">
        <f t="shared" si="19"/>
        <v>178</v>
      </c>
      <c r="AL387" s="1">
        <f t="shared" si="20"/>
        <v>0.1640552995391705</v>
      </c>
    </row>
    <row r="388" spans="1:38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18"/>
        <v>1084</v>
      </c>
      <c r="AK388">
        <f t="shared" si="19"/>
        <v>177</v>
      </c>
      <c r="AL388" s="1">
        <f t="shared" si="20"/>
        <v>0.16328413284132842</v>
      </c>
    </row>
    <row r="389" spans="1:38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18"/>
        <v>1083</v>
      </c>
      <c r="AK389">
        <f t="shared" si="19"/>
        <v>177</v>
      </c>
      <c r="AL389" s="1">
        <f t="shared" si="20"/>
        <v>0.16343490304709141</v>
      </c>
    </row>
    <row r="390" spans="1:38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18"/>
        <v>1082</v>
      </c>
      <c r="AK390">
        <f t="shared" si="19"/>
        <v>177</v>
      </c>
      <c r="AL390" s="1">
        <f t="shared" si="20"/>
        <v>0.16358595194085027</v>
      </c>
    </row>
    <row r="391" spans="1:38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18"/>
        <v>1081</v>
      </c>
      <c r="AK391">
        <f t="shared" si="19"/>
        <v>177</v>
      </c>
      <c r="AL391" s="1">
        <f t="shared" si="20"/>
        <v>0.16373728029602219</v>
      </c>
    </row>
    <row r="392" spans="1:38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18"/>
        <v>1080</v>
      </c>
      <c r="AK392">
        <f t="shared" si="19"/>
        <v>177</v>
      </c>
      <c r="AL392" s="1">
        <f t="shared" si="20"/>
        <v>0.16388888888888889</v>
      </c>
    </row>
    <row r="393" spans="1:38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18"/>
        <v>1079</v>
      </c>
      <c r="AK393">
        <f t="shared" si="19"/>
        <v>177</v>
      </c>
      <c r="AL393" s="1">
        <f t="shared" si="20"/>
        <v>0.16404077849860982</v>
      </c>
    </row>
    <row r="394" spans="1:38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18"/>
        <v>1078</v>
      </c>
      <c r="AK394">
        <f t="shared" si="19"/>
        <v>177</v>
      </c>
      <c r="AL394" s="1">
        <f t="shared" si="20"/>
        <v>0.16419294990723562</v>
      </c>
    </row>
    <row r="395" spans="1:38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18"/>
        <v>1077</v>
      </c>
      <c r="AK395">
        <f t="shared" si="19"/>
        <v>177</v>
      </c>
      <c r="AL395" s="1">
        <f t="shared" si="20"/>
        <v>0.16434540389972144</v>
      </c>
    </row>
    <row r="396" spans="1:38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18"/>
        <v>1076</v>
      </c>
      <c r="AK396">
        <f t="shared" si="19"/>
        <v>177</v>
      </c>
      <c r="AL396" s="1">
        <f t="shared" si="20"/>
        <v>0.16449814126394052</v>
      </c>
    </row>
    <row r="397" spans="1:38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18"/>
        <v>1075</v>
      </c>
      <c r="AK397">
        <f t="shared" si="19"/>
        <v>177</v>
      </c>
      <c r="AL397" s="1">
        <f t="shared" si="20"/>
        <v>0.16465116279069766</v>
      </c>
    </row>
    <row r="398" spans="1:38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18"/>
        <v>1074</v>
      </c>
      <c r="AK398">
        <f t="shared" si="19"/>
        <v>177</v>
      </c>
      <c r="AL398" s="1">
        <f t="shared" si="20"/>
        <v>0.16480446927374301</v>
      </c>
    </row>
    <row r="399" spans="1:38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18"/>
        <v>1073</v>
      </c>
      <c r="AK399">
        <f t="shared" si="19"/>
        <v>177</v>
      </c>
      <c r="AL399" s="1">
        <f t="shared" si="20"/>
        <v>0.16495806150978565</v>
      </c>
    </row>
    <row r="400" spans="1:38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18"/>
        <v>1072</v>
      </c>
      <c r="AK400">
        <f t="shared" si="19"/>
        <v>177</v>
      </c>
      <c r="AL400" s="1">
        <f t="shared" si="20"/>
        <v>0.16511194029850745</v>
      </c>
    </row>
    <row r="401" spans="1:38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18"/>
        <v>1071</v>
      </c>
      <c r="AK401">
        <f t="shared" si="19"/>
        <v>177</v>
      </c>
      <c r="AL401" s="1">
        <f t="shared" si="20"/>
        <v>0.16526610644257703</v>
      </c>
    </row>
    <row r="402" spans="1:38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18"/>
        <v>1070</v>
      </c>
      <c r="AK402">
        <f t="shared" si="19"/>
        <v>177</v>
      </c>
      <c r="AL402" s="1">
        <f t="shared" si="20"/>
        <v>0.16542056074766356</v>
      </c>
    </row>
    <row r="403" spans="1:38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18"/>
        <v>1069</v>
      </c>
      <c r="AK403">
        <f t="shared" si="19"/>
        <v>177</v>
      </c>
      <c r="AL403" s="1">
        <f t="shared" si="20"/>
        <v>0.16557530402245088</v>
      </c>
    </row>
    <row r="404" spans="1:38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18"/>
        <v>1068</v>
      </c>
      <c r="AK404">
        <f t="shared" si="19"/>
        <v>177</v>
      </c>
      <c r="AL404" s="1">
        <f t="shared" si="20"/>
        <v>0.16573033707865167</v>
      </c>
    </row>
    <row r="405" spans="1:38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18"/>
        <v>1067</v>
      </c>
      <c r="AK405">
        <f t="shared" si="19"/>
        <v>177</v>
      </c>
      <c r="AL405" s="1">
        <f t="shared" si="20"/>
        <v>0.16588566073102157</v>
      </c>
    </row>
    <row r="406" spans="1:38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18"/>
        <v>1066</v>
      </c>
      <c r="AK406">
        <f t="shared" si="19"/>
        <v>177</v>
      </c>
      <c r="AL406" s="1">
        <f t="shared" si="20"/>
        <v>0.16604127579737335</v>
      </c>
    </row>
    <row r="407" spans="1:38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18"/>
        <v>1065</v>
      </c>
      <c r="AK407">
        <f t="shared" si="19"/>
        <v>177</v>
      </c>
      <c r="AL407" s="1">
        <f t="shared" si="20"/>
        <v>0.16619718309859155</v>
      </c>
    </row>
    <row r="408" spans="1:38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18"/>
        <v>1064</v>
      </c>
      <c r="AK408">
        <f t="shared" si="19"/>
        <v>176</v>
      </c>
      <c r="AL408" s="1">
        <f t="shared" si="20"/>
        <v>0.16541353383458646</v>
      </c>
    </row>
    <row r="409" spans="1:38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18"/>
        <v>1063</v>
      </c>
      <c r="AK409">
        <f t="shared" si="19"/>
        <v>176</v>
      </c>
      <c r="AL409" s="1">
        <f t="shared" si="20"/>
        <v>0.16556914393226718</v>
      </c>
    </row>
    <row r="410" spans="1:38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18"/>
        <v>1062</v>
      </c>
      <c r="AK410">
        <f t="shared" si="19"/>
        <v>176</v>
      </c>
      <c r="AL410" s="1">
        <f t="shared" si="20"/>
        <v>0.16572504708097929</v>
      </c>
    </row>
    <row r="411" spans="1:38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18"/>
        <v>1061</v>
      </c>
      <c r="AK411">
        <f t="shared" si="19"/>
        <v>176</v>
      </c>
      <c r="AL411" s="1">
        <f t="shared" si="20"/>
        <v>0.16588124410933083</v>
      </c>
    </row>
    <row r="412" spans="1:38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18"/>
        <v>1060</v>
      </c>
      <c r="AK412">
        <f t="shared" si="19"/>
        <v>176</v>
      </c>
      <c r="AL412" s="1">
        <f t="shared" si="20"/>
        <v>0.16603773584905659</v>
      </c>
    </row>
    <row r="413" spans="1:38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18"/>
        <v>1059</v>
      </c>
      <c r="AK413">
        <f t="shared" si="19"/>
        <v>176</v>
      </c>
      <c r="AL413" s="1">
        <f t="shared" si="20"/>
        <v>0.16619452313503305</v>
      </c>
    </row>
    <row r="414" spans="1:38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18"/>
        <v>1058</v>
      </c>
      <c r="AK414">
        <f t="shared" si="19"/>
        <v>176</v>
      </c>
      <c r="AL414" s="1">
        <f t="shared" si="20"/>
        <v>0.16635160680529301</v>
      </c>
    </row>
    <row r="415" spans="1:38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18"/>
        <v>1057</v>
      </c>
      <c r="AK415">
        <f t="shared" si="19"/>
        <v>176</v>
      </c>
      <c r="AL415" s="1">
        <f t="shared" si="20"/>
        <v>0.16650898770104069</v>
      </c>
    </row>
    <row r="416" spans="1:38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18"/>
        <v>1056</v>
      </c>
      <c r="AK416">
        <f t="shared" si="19"/>
        <v>176</v>
      </c>
      <c r="AL416" s="1">
        <f t="shared" si="20"/>
        <v>0.16666666666666666</v>
      </c>
    </row>
    <row r="417" spans="1:38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18"/>
        <v>1055</v>
      </c>
      <c r="AK417">
        <f t="shared" si="19"/>
        <v>175</v>
      </c>
      <c r="AL417" s="1">
        <f t="shared" si="20"/>
        <v>0.16587677725118483</v>
      </c>
    </row>
    <row r="418" spans="1:38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18"/>
        <v>1054</v>
      </c>
      <c r="AK418">
        <f t="shared" si="19"/>
        <v>174</v>
      </c>
      <c r="AL418" s="1">
        <f t="shared" si="20"/>
        <v>0.16508538899430741</v>
      </c>
    </row>
    <row r="419" spans="1:38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18"/>
        <v>1053</v>
      </c>
      <c r="AK419">
        <f t="shared" si="19"/>
        <v>174</v>
      </c>
      <c r="AL419" s="1">
        <f t="shared" si="20"/>
        <v>0.16524216524216523</v>
      </c>
    </row>
    <row r="420" spans="1:38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18"/>
        <v>1052</v>
      </c>
      <c r="AK420">
        <f t="shared" si="19"/>
        <v>174</v>
      </c>
      <c r="AL420" s="1">
        <f t="shared" si="20"/>
        <v>0.16539923954372623</v>
      </c>
    </row>
    <row r="421" spans="1:38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18"/>
        <v>1051</v>
      </c>
      <c r="AK421">
        <f t="shared" si="19"/>
        <v>174</v>
      </c>
      <c r="AL421" s="1">
        <f t="shared" si="20"/>
        <v>0.16555661274976213</v>
      </c>
    </row>
    <row r="422" spans="1:38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18"/>
        <v>1050</v>
      </c>
      <c r="AK422">
        <f t="shared" si="19"/>
        <v>174</v>
      </c>
      <c r="AL422" s="1">
        <f t="shared" si="20"/>
        <v>0.1657142857142857</v>
      </c>
    </row>
    <row r="423" spans="1:38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18"/>
        <v>1049</v>
      </c>
      <c r="AK423">
        <f t="shared" si="19"/>
        <v>174</v>
      </c>
      <c r="AL423" s="1">
        <f t="shared" si="20"/>
        <v>0.16587225929456625</v>
      </c>
    </row>
    <row r="424" spans="1:38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18"/>
        <v>1048</v>
      </c>
      <c r="AK424">
        <f t="shared" si="19"/>
        <v>173</v>
      </c>
      <c r="AL424" s="1">
        <f t="shared" si="20"/>
        <v>0.16507633587786261</v>
      </c>
    </row>
    <row r="425" spans="1:38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18"/>
        <v>1047</v>
      </c>
      <c r="AK425">
        <f t="shared" si="19"/>
        <v>172</v>
      </c>
      <c r="AL425" s="1">
        <f t="shared" si="20"/>
        <v>0.16427889207258833</v>
      </c>
    </row>
    <row r="426" spans="1:38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18"/>
        <v>1046</v>
      </c>
      <c r="AK426">
        <f t="shared" si="19"/>
        <v>172</v>
      </c>
      <c r="AL426" s="1">
        <f t="shared" si="20"/>
        <v>0.16443594646271512</v>
      </c>
    </row>
    <row r="427" spans="1:38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18"/>
        <v>1045</v>
      </c>
      <c r="AK427">
        <f t="shared" si="19"/>
        <v>172</v>
      </c>
      <c r="AL427" s="1">
        <f t="shared" si="20"/>
        <v>0.16459330143540671</v>
      </c>
    </row>
    <row r="428" spans="1:38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18"/>
        <v>1044</v>
      </c>
      <c r="AK428">
        <f t="shared" si="19"/>
        <v>172</v>
      </c>
      <c r="AL428" s="1">
        <f t="shared" si="20"/>
        <v>0.16475095785440613</v>
      </c>
    </row>
    <row r="429" spans="1:38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18"/>
        <v>1043</v>
      </c>
      <c r="AK429">
        <f t="shared" si="19"/>
        <v>172</v>
      </c>
      <c r="AL429" s="1">
        <f t="shared" si="20"/>
        <v>0.16490891658676893</v>
      </c>
    </row>
    <row r="430" spans="1:38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18"/>
        <v>1042</v>
      </c>
      <c r="AK430">
        <f t="shared" si="19"/>
        <v>172</v>
      </c>
      <c r="AL430" s="1">
        <f t="shared" si="20"/>
        <v>0.16506717850287908</v>
      </c>
    </row>
    <row r="431" spans="1:38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18"/>
        <v>1041</v>
      </c>
      <c r="AK431">
        <f t="shared" si="19"/>
        <v>172</v>
      </c>
      <c r="AL431" s="1">
        <f t="shared" si="20"/>
        <v>0.16522574447646493</v>
      </c>
    </row>
    <row r="432" spans="1:38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18"/>
        <v>1040</v>
      </c>
      <c r="AK432">
        <f t="shared" si="19"/>
        <v>172</v>
      </c>
      <c r="AL432" s="1">
        <f t="shared" si="20"/>
        <v>0.16538461538461538</v>
      </c>
    </row>
    <row r="433" spans="1:38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18"/>
        <v>1039</v>
      </c>
      <c r="AK433">
        <f t="shared" si="19"/>
        <v>172</v>
      </c>
      <c r="AL433" s="1">
        <f t="shared" si="20"/>
        <v>0.16554379210779596</v>
      </c>
    </row>
    <row r="434" spans="1:38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18"/>
        <v>1038</v>
      </c>
      <c r="AK434">
        <f t="shared" si="19"/>
        <v>172</v>
      </c>
      <c r="AL434" s="1">
        <f t="shared" si="20"/>
        <v>0.16570327552986513</v>
      </c>
    </row>
    <row r="435" spans="1:38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18"/>
        <v>1037</v>
      </c>
      <c r="AK435">
        <f t="shared" si="19"/>
        <v>172</v>
      </c>
      <c r="AL435" s="1">
        <f t="shared" si="20"/>
        <v>0.16586306653809066</v>
      </c>
    </row>
    <row r="436" spans="1:38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18"/>
        <v>1036</v>
      </c>
      <c r="AK436">
        <f t="shared" si="19"/>
        <v>172</v>
      </c>
      <c r="AL436" s="1">
        <f t="shared" si="20"/>
        <v>0.16602316602316602</v>
      </c>
    </row>
    <row r="437" spans="1:38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18"/>
        <v>1035</v>
      </c>
      <c r="AK437">
        <f t="shared" si="19"/>
        <v>172</v>
      </c>
      <c r="AL437" s="1">
        <f t="shared" si="20"/>
        <v>0.16618357487922705</v>
      </c>
    </row>
    <row r="438" spans="1:38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18"/>
        <v>1034</v>
      </c>
      <c r="AK438">
        <f t="shared" si="19"/>
        <v>171</v>
      </c>
      <c r="AL438" s="1">
        <f t="shared" si="20"/>
        <v>0.16537717601547389</v>
      </c>
    </row>
    <row r="439" spans="1:38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18"/>
        <v>1033</v>
      </c>
      <c r="AK439">
        <f t="shared" si="19"/>
        <v>170</v>
      </c>
      <c r="AL439" s="1">
        <f t="shared" si="20"/>
        <v>0.16456921587608905</v>
      </c>
    </row>
    <row r="440" spans="1:38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18"/>
        <v>1032</v>
      </c>
      <c r="AK440">
        <f t="shared" si="19"/>
        <v>170</v>
      </c>
      <c r="AL440" s="1">
        <f t="shared" si="20"/>
        <v>0.16472868217054262</v>
      </c>
    </row>
    <row r="441" spans="1:38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18"/>
        <v>1031</v>
      </c>
      <c r="AK441">
        <f t="shared" si="19"/>
        <v>170</v>
      </c>
      <c r="AL441" s="1">
        <f t="shared" si="20"/>
        <v>0.16488845780795344</v>
      </c>
    </row>
    <row r="442" spans="1:38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18"/>
        <v>1030</v>
      </c>
      <c r="AK442">
        <f t="shared" si="19"/>
        <v>169</v>
      </c>
      <c r="AL442" s="1">
        <f t="shared" si="20"/>
        <v>0.16407766990291262</v>
      </c>
    </row>
    <row r="443" spans="1:38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18"/>
        <v>1029</v>
      </c>
      <c r="AK443">
        <f t="shared" si="19"/>
        <v>168</v>
      </c>
      <c r="AL443" s="1">
        <f t="shared" si="20"/>
        <v>0.16326530612244897</v>
      </c>
    </row>
    <row r="444" spans="1:38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18"/>
        <v>1028</v>
      </c>
      <c r="AK444">
        <f t="shared" si="19"/>
        <v>168</v>
      </c>
      <c r="AL444" s="1">
        <f t="shared" si="20"/>
        <v>0.16342412451361868</v>
      </c>
    </row>
    <row r="445" spans="1:38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18"/>
        <v>1027</v>
      </c>
      <c r="AK445">
        <f t="shared" si="19"/>
        <v>168</v>
      </c>
      <c r="AL445" s="1">
        <f t="shared" si="20"/>
        <v>0.16358325219084713</v>
      </c>
    </row>
    <row r="446" spans="1:38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18"/>
        <v>1026</v>
      </c>
      <c r="AK446">
        <f t="shared" si="19"/>
        <v>167</v>
      </c>
      <c r="AL446" s="1">
        <f t="shared" si="20"/>
        <v>0.16276803118908381</v>
      </c>
    </row>
    <row r="447" spans="1:38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18"/>
        <v>1025</v>
      </c>
      <c r="AK447">
        <f t="shared" si="19"/>
        <v>167</v>
      </c>
      <c r="AL447" s="1">
        <f t="shared" si="20"/>
        <v>0.16292682926829269</v>
      </c>
    </row>
    <row r="448" spans="1:38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18"/>
        <v>1024</v>
      </c>
      <c r="AK448">
        <f t="shared" si="19"/>
        <v>167</v>
      </c>
      <c r="AL448" s="1">
        <f t="shared" si="20"/>
        <v>0.1630859375</v>
      </c>
    </row>
    <row r="449" spans="1:38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18"/>
        <v>1023</v>
      </c>
      <c r="AK449">
        <f t="shared" si="19"/>
        <v>167</v>
      </c>
      <c r="AL449" s="1">
        <f t="shared" si="20"/>
        <v>0.16324535679374388</v>
      </c>
    </row>
    <row r="450" spans="1:38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ref="AJ450:AJ513" si="21">COUNTA(A450:A1919)</f>
        <v>1022</v>
      </c>
      <c r="AK450">
        <f t="shared" ref="AK450:AK513" si="22">COUNTIF(B450:B1919, "Yes")</f>
        <v>167</v>
      </c>
      <c r="AL450" s="1">
        <f t="shared" ref="AL450:AL513" si="23">COUNTIF(B450:B1919, "Yes")/COUNTA(A450:A1919)</f>
        <v>0.1634050880626223</v>
      </c>
    </row>
    <row r="451" spans="1:38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si="21"/>
        <v>1021</v>
      </c>
      <c r="AK451">
        <f t="shared" si="22"/>
        <v>167</v>
      </c>
      <c r="AL451" s="1">
        <f t="shared" si="23"/>
        <v>0.16356513222331048</v>
      </c>
    </row>
    <row r="452" spans="1:38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21"/>
        <v>1020</v>
      </c>
      <c r="AK452">
        <f t="shared" si="22"/>
        <v>167</v>
      </c>
      <c r="AL452" s="1">
        <f t="shared" si="23"/>
        <v>0.16372549019607843</v>
      </c>
    </row>
    <row r="453" spans="1:38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21"/>
        <v>1019</v>
      </c>
      <c r="AK453">
        <f t="shared" si="22"/>
        <v>167</v>
      </c>
      <c r="AL453" s="1">
        <f t="shared" si="23"/>
        <v>0.16388616290480865</v>
      </c>
    </row>
    <row r="454" spans="1:38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21"/>
        <v>1018</v>
      </c>
      <c r="AK454">
        <f t="shared" si="22"/>
        <v>167</v>
      </c>
      <c r="AL454" s="1">
        <f t="shared" si="23"/>
        <v>0.16404715127701375</v>
      </c>
    </row>
    <row r="455" spans="1:38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21"/>
        <v>1017</v>
      </c>
      <c r="AK455">
        <f t="shared" si="22"/>
        <v>167</v>
      </c>
      <c r="AL455" s="1">
        <f t="shared" si="23"/>
        <v>0.16420845624385447</v>
      </c>
    </row>
    <row r="456" spans="1:38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21"/>
        <v>1016</v>
      </c>
      <c r="AK456">
        <f t="shared" si="22"/>
        <v>166</v>
      </c>
      <c r="AL456" s="1">
        <f t="shared" si="23"/>
        <v>0.16338582677165353</v>
      </c>
    </row>
    <row r="457" spans="1:38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21"/>
        <v>1015</v>
      </c>
      <c r="AK457">
        <f t="shared" si="22"/>
        <v>166</v>
      </c>
      <c r="AL457" s="1">
        <f t="shared" si="23"/>
        <v>0.16354679802955666</v>
      </c>
    </row>
    <row r="458" spans="1:38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21"/>
        <v>1014</v>
      </c>
      <c r="AK458">
        <f t="shared" si="22"/>
        <v>166</v>
      </c>
      <c r="AL458" s="1">
        <f t="shared" si="23"/>
        <v>0.16370808678500987</v>
      </c>
    </row>
    <row r="459" spans="1:38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21"/>
        <v>1013</v>
      </c>
      <c r="AK459">
        <f t="shared" si="22"/>
        <v>166</v>
      </c>
      <c r="AL459" s="1">
        <f t="shared" si="23"/>
        <v>0.16386969397828233</v>
      </c>
    </row>
    <row r="460" spans="1:38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21"/>
        <v>1012</v>
      </c>
      <c r="AK460">
        <f t="shared" si="22"/>
        <v>165</v>
      </c>
      <c r="AL460" s="1">
        <f t="shared" si="23"/>
        <v>0.16304347826086957</v>
      </c>
    </row>
    <row r="461" spans="1:38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21"/>
        <v>1011</v>
      </c>
      <c r="AK461">
        <f t="shared" si="22"/>
        <v>165</v>
      </c>
      <c r="AL461" s="1">
        <f t="shared" si="23"/>
        <v>0.16320474777448071</v>
      </c>
    </row>
    <row r="462" spans="1:38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21"/>
        <v>1010</v>
      </c>
      <c r="AK462">
        <f t="shared" si="22"/>
        <v>165</v>
      </c>
      <c r="AL462" s="1">
        <f t="shared" si="23"/>
        <v>0.16336633663366337</v>
      </c>
    </row>
    <row r="463" spans="1:38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21"/>
        <v>1009</v>
      </c>
      <c r="AK463">
        <f t="shared" si="22"/>
        <v>165</v>
      </c>
      <c r="AL463" s="1">
        <f t="shared" si="23"/>
        <v>0.16352824578790881</v>
      </c>
    </row>
    <row r="464" spans="1:38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21"/>
        <v>1008</v>
      </c>
      <c r="AK464">
        <f t="shared" si="22"/>
        <v>165</v>
      </c>
      <c r="AL464" s="1">
        <f t="shared" si="23"/>
        <v>0.16369047619047619</v>
      </c>
    </row>
    <row r="465" spans="1:38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21"/>
        <v>1007</v>
      </c>
      <c r="AK465">
        <f t="shared" si="22"/>
        <v>165</v>
      </c>
      <c r="AL465" s="1">
        <f t="shared" si="23"/>
        <v>0.16385302879841113</v>
      </c>
    </row>
    <row r="466" spans="1:38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21"/>
        <v>1006</v>
      </c>
      <c r="AK466">
        <f t="shared" si="22"/>
        <v>164</v>
      </c>
      <c r="AL466" s="1">
        <f t="shared" si="23"/>
        <v>0.16302186878727634</v>
      </c>
    </row>
    <row r="467" spans="1:38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21"/>
        <v>1005</v>
      </c>
      <c r="AK467">
        <f t="shared" si="22"/>
        <v>164</v>
      </c>
      <c r="AL467" s="1">
        <f t="shared" si="23"/>
        <v>0.16318407960199005</v>
      </c>
    </row>
    <row r="468" spans="1:38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21"/>
        <v>1004</v>
      </c>
      <c r="AK468">
        <f t="shared" si="22"/>
        <v>164</v>
      </c>
      <c r="AL468" s="1">
        <f t="shared" si="23"/>
        <v>0.16334661354581673</v>
      </c>
    </row>
    <row r="469" spans="1:38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21"/>
        <v>1003</v>
      </c>
      <c r="AK469">
        <f t="shared" si="22"/>
        <v>164</v>
      </c>
      <c r="AL469" s="1">
        <f t="shared" si="23"/>
        <v>0.16350947158524426</v>
      </c>
    </row>
    <row r="470" spans="1:38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21"/>
        <v>1002</v>
      </c>
      <c r="AK470">
        <f t="shared" si="22"/>
        <v>164</v>
      </c>
      <c r="AL470" s="1">
        <f t="shared" si="23"/>
        <v>0.16367265469061876</v>
      </c>
    </row>
    <row r="471" spans="1:38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21"/>
        <v>1001</v>
      </c>
      <c r="AK471">
        <f t="shared" si="22"/>
        <v>164</v>
      </c>
      <c r="AL471" s="1">
        <f t="shared" si="23"/>
        <v>0.16383616383616384</v>
      </c>
    </row>
    <row r="472" spans="1:38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21"/>
        <v>1000</v>
      </c>
      <c r="AK472">
        <f t="shared" si="22"/>
        <v>163</v>
      </c>
      <c r="AL472" s="1">
        <f t="shared" si="23"/>
        <v>0.16300000000000001</v>
      </c>
    </row>
    <row r="473" spans="1:38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21"/>
        <v>999</v>
      </c>
      <c r="AK473">
        <f t="shared" si="22"/>
        <v>163</v>
      </c>
      <c r="AL473" s="1">
        <f t="shared" si="23"/>
        <v>0.16316316316316315</v>
      </c>
    </row>
    <row r="474" spans="1:38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21"/>
        <v>998</v>
      </c>
      <c r="AK474">
        <f t="shared" si="22"/>
        <v>163</v>
      </c>
      <c r="AL474" s="1">
        <f t="shared" si="23"/>
        <v>0.16332665330661322</v>
      </c>
    </row>
    <row r="475" spans="1:38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21"/>
        <v>997</v>
      </c>
      <c r="AK475">
        <f t="shared" si="22"/>
        <v>163</v>
      </c>
      <c r="AL475" s="1">
        <f t="shared" si="23"/>
        <v>0.16349047141424272</v>
      </c>
    </row>
    <row r="476" spans="1:38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21"/>
        <v>996</v>
      </c>
      <c r="AK476">
        <f t="shared" si="22"/>
        <v>163</v>
      </c>
      <c r="AL476" s="1">
        <f t="shared" si="23"/>
        <v>0.16365461847389559</v>
      </c>
    </row>
    <row r="477" spans="1:38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21"/>
        <v>995</v>
      </c>
      <c r="AK477">
        <f t="shared" si="22"/>
        <v>163</v>
      </c>
      <c r="AL477" s="1">
        <f t="shared" si="23"/>
        <v>0.16381909547738693</v>
      </c>
    </row>
    <row r="478" spans="1:38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21"/>
        <v>994</v>
      </c>
      <c r="AK478">
        <f t="shared" si="22"/>
        <v>163</v>
      </c>
      <c r="AL478" s="1">
        <f t="shared" si="23"/>
        <v>0.16398390342052313</v>
      </c>
    </row>
    <row r="479" spans="1:38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21"/>
        <v>993</v>
      </c>
      <c r="AK479">
        <f t="shared" si="22"/>
        <v>163</v>
      </c>
      <c r="AL479" s="1">
        <f t="shared" si="23"/>
        <v>0.16414904330312186</v>
      </c>
    </row>
    <row r="480" spans="1:38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21"/>
        <v>992</v>
      </c>
      <c r="AK480">
        <f t="shared" si="22"/>
        <v>163</v>
      </c>
      <c r="AL480" s="1">
        <f t="shared" si="23"/>
        <v>0.16431451612903225</v>
      </c>
    </row>
    <row r="481" spans="1:38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21"/>
        <v>991</v>
      </c>
      <c r="AK481">
        <f t="shared" si="22"/>
        <v>163</v>
      </c>
      <c r="AL481" s="1">
        <f t="shared" si="23"/>
        <v>0.16448032290615539</v>
      </c>
    </row>
    <row r="482" spans="1:38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21"/>
        <v>990</v>
      </c>
      <c r="AK482">
        <f t="shared" si="22"/>
        <v>162</v>
      </c>
      <c r="AL482" s="1">
        <f t="shared" si="23"/>
        <v>0.16363636363636364</v>
      </c>
    </row>
    <row r="483" spans="1:38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21"/>
        <v>989</v>
      </c>
      <c r="AK483">
        <f t="shared" si="22"/>
        <v>161</v>
      </c>
      <c r="AL483" s="1">
        <f t="shared" si="23"/>
        <v>0.16279069767441862</v>
      </c>
    </row>
    <row r="484" spans="1:38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21"/>
        <v>988</v>
      </c>
      <c r="AK484">
        <f t="shared" si="22"/>
        <v>161</v>
      </c>
      <c r="AL484" s="1">
        <f t="shared" si="23"/>
        <v>0.16295546558704455</v>
      </c>
    </row>
    <row r="485" spans="1:38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21"/>
        <v>987</v>
      </c>
      <c r="AK485">
        <f t="shared" si="22"/>
        <v>160</v>
      </c>
      <c r="AL485" s="1">
        <f t="shared" si="23"/>
        <v>0.16210739614994935</v>
      </c>
    </row>
    <row r="486" spans="1:38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21"/>
        <v>986</v>
      </c>
      <c r="AK486">
        <f t="shared" si="22"/>
        <v>160</v>
      </c>
      <c r="AL486" s="1">
        <f t="shared" si="23"/>
        <v>0.16227180527383367</v>
      </c>
    </row>
    <row r="487" spans="1:38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21"/>
        <v>985</v>
      </c>
      <c r="AK487">
        <f t="shared" si="22"/>
        <v>160</v>
      </c>
      <c r="AL487" s="1">
        <f t="shared" si="23"/>
        <v>0.16243654822335024</v>
      </c>
    </row>
    <row r="488" spans="1:38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21"/>
        <v>984</v>
      </c>
      <c r="AK488">
        <f t="shared" si="22"/>
        <v>160</v>
      </c>
      <c r="AL488" s="1">
        <f t="shared" si="23"/>
        <v>0.16260162601626016</v>
      </c>
    </row>
    <row r="489" spans="1:38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21"/>
        <v>983</v>
      </c>
      <c r="AK489">
        <f t="shared" si="22"/>
        <v>160</v>
      </c>
      <c r="AL489" s="1">
        <f t="shared" si="23"/>
        <v>0.16276703967446593</v>
      </c>
    </row>
    <row r="490" spans="1:38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21"/>
        <v>982</v>
      </c>
      <c r="AK490">
        <f t="shared" si="22"/>
        <v>160</v>
      </c>
      <c r="AL490" s="1">
        <f t="shared" si="23"/>
        <v>0.16293279022403259</v>
      </c>
    </row>
    <row r="491" spans="1:38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21"/>
        <v>981</v>
      </c>
      <c r="AK491">
        <f t="shared" si="22"/>
        <v>160</v>
      </c>
      <c r="AL491" s="1">
        <f t="shared" si="23"/>
        <v>0.16309887869520898</v>
      </c>
    </row>
    <row r="492" spans="1:38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21"/>
        <v>980</v>
      </c>
      <c r="AK492">
        <f t="shared" si="22"/>
        <v>160</v>
      </c>
      <c r="AL492" s="1">
        <f t="shared" si="23"/>
        <v>0.16326530612244897</v>
      </c>
    </row>
    <row r="493" spans="1:38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21"/>
        <v>979</v>
      </c>
      <c r="AK493">
        <f t="shared" si="22"/>
        <v>160</v>
      </c>
      <c r="AL493" s="1">
        <f t="shared" si="23"/>
        <v>0.16343207354443309</v>
      </c>
    </row>
    <row r="494" spans="1:38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21"/>
        <v>978</v>
      </c>
      <c r="AK494">
        <f t="shared" si="22"/>
        <v>160</v>
      </c>
      <c r="AL494" s="1">
        <f t="shared" si="23"/>
        <v>0.16359918200408999</v>
      </c>
    </row>
    <row r="495" spans="1:38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21"/>
        <v>977</v>
      </c>
      <c r="AK495">
        <f t="shared" si="22"/>
        <v>160</v>
      </c>
      <c r="AL495" s="1">
        <f t="shared" si="23"/>
        <v>0.16376663254861823</v>
      </c>
    </row>
    <row r="496" spans="1:38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21"/>
        <v>976</v>
      </c>
      <c r="AK496">
        <f t="shared" si="22"/>
        <v>160</v>
      </c>
      <c r="AL496" s="1">
        <f t="shared" si="23"/>
        <v>0.16393442622950818</v>
      </c>
    </row>
    <row r="497" spans="1:38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21"/>
        <v>975</v>
      </c>
      <c r="AK497">
        <f t="shared" si="22"/>
        <v>160</v>
      </c>
      <c r="AL497" s="1">
        <f t="shared" si="23"/>
        <v>0.1641025641025641</v>
      </c>
    </row>
    <row r="498" spans="1:38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21"/>
        <v>974</v>
      </c>
      <c r="AK498">
        <f t="shared" si="22"/>
        <v>159</v>
      </c>
      <c r="AL498" s="1">
        <f t="shared" si="23"/>
        <v>0.16324435318275154</v>
      </c>
    </row>
    <row r="499" spans="1:38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21"/>
        <v>973</v>
      </c>
      <c r="AK499">
        <f t="shared" si="22"/>
        <v>159</v>
      </c>
      <c r="AL499" s="1">
        <f t="shared" si="23"/>
        <v>0.16341212744090441</v>
      </c>
    </row>
    <row r="500" spans="1:38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21"/>
        <v>972</v>
      </c>
      <c r="AK500">
        <f t="shared" si="22"/>
        <v>159</v>
      </c>
      <c r="AL500" s="1">
        <f t="shared" si="23"/>
        <v>0.16358024691358025</v>
      </c>
    </row>
    <row r="501" spans="1:38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21"/>
        <v>971</v>
      </c>
      <c r="AK501">
        <f t="shared" si="22"/>
        <v>159</v>
      </c>
      <c r="AL501" s="1">
        <f t="shared" si="23"/>
        <v>0.16374871266735325</v>
      </c>
    </row>
    <row r="502" spans="1:38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21"/>
        <v>970</v>
      </c>
      <c r="AK502">
        <f t="shared" si="22"/>
        <v>159</v>
      </c>
      <c r="AL502" s="1">
        <f t="shared" si="23"/>
        <v>0.16391752577319588</v>
      </c>
    </row>
    <row r="503" spans="1:38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21"/>
        <v>969</v>
      </c>
      <c r="AK503">
        <f t="shared" si="22"/>
        <v>159</v>
      </c>
      <c r="AL503" s="1">
        <f t="shared" si="23"/>
        <v>0.16408668730650156</v>
      </c>
    </row>
    <row r="504" spans="1:38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21"/>
        <v>968</v>
      </c>
      <c r="AK504">
        <f t="shared" si="22"/>
        <v>159</v>
      </c>
      <c r="AL504" s="1">
        <f t="shared" si="23"/>
        <v>0.16425619834710745</v>
      </c>
    </row>
    <row r="505" spans="1:38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21"/>
        <v>967</v>
      </c>
      <c r="AK505">
        <f t="shared" si="22"/>
        <v>159</v>
      </c>
      <c r="AL505" s="1">
        <f t="shared" si="23"/>
        <v>0.16442605997931747</v>
      </c>
    </row>
    <row r="506" spans="1:38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21"/>
        <v>966</v>
      </c>
      <c r="AK506">
        <f t="shared" si="22"/>
        <v>159</v>
      </c>
      <c r="AL506" s="1">
        <f t="shared" si="23"/>
        <v>0.16459627329192547</v>
      </c>
    </row>
    <row r="507" spans="1:38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21"/>
        <v>965</v>
      </c>
      <c r="AK507">
        <f t="shared" si="22"/>
        <v>158</v>
      </c>
      <c r="AL507" s="1">
        <f t="shared" si="23"/>
        <v>0.16373056994818652</v>
      </c>
    </row>
    <row r="508" spans="1:38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21"/>
        <v>964</v>
      </c>
      <c r="AK508">
        <f t="shared" si="22"/>
        <v>158</v>
      </c>
      <c r="AL508" s="1">
        <f t="shared" si="23"/>
        <v>0.16390041493775934</v>
      </c>
    </row>
    <row r="509" spans="1:38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21"/>
        <v>963</v>
      </c>
      <c r="AK509">
        <f t="shared" si="22"/>
        <v>158</v>
      </c>
      <c r="AL509" s="1">
        <f t="shared" si="23"/>
        <v>0.16407061266874351</v>
      </c>
    </row>
    <row r="510" spans="1:38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21"/>
        <v>962</v>
      </c>
      <c r="AK510">
        <f t="shared" si="22"/>
        <v>158</v>
      </c>
      <c r="AL510" s="1">
        <f t="shared" si="23"/>
        <v>0.16424116424116425</v>
      </c>
    </row>
    <row r="511" spans="1:38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21"/>
        <v>961</v>
      </c>
      <c r="AK511">
        <f t="shared" si="22"/>
        <v>158</v>
      </c>
      <c r="AL511" s="1">
        <f t="shared" si="23"/>
        <v>0.16441207075962538</v>
      </c>
    </row>
    <row r="512" spans="1:38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21"/>
        <v>960</v>
      </c>
      <c r="AK512">
        <f t="shared" si="22"/>
        <v>158</v>
      </c>
      <c r="AL512" s="1">
        <f t="shared" si="23"/>
        <v>0.16458333333333333</v>
      </c>
    </row>
    <row r="513" spans="1:38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21"/>
        <v>959</v>
      </c>
      <c r="AK513">
        <f t="shared" si="22"/>
        <v>158</v>
      </c>
      <c r="AL513" s="1">
        <f t="shared" si="23"/>
        <v>0.16475495307612095</v>
      </c>
    </row>
    <row r="514" spans="1:38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ref="AJ514:AJ577" si="24">COUNTA(A514:A1983)</f>
        <v>958</v>
      </c>
      <c r="AK514">
        <f t="shared" ref="AK514:AK577" si="25">COUNTIF(B514:B1983, "Yes")</f>
        <v>158</v>
      </c>
      <c r="AL514" s="1">
        <f t="shared" ref="AL514:AL577" si="26">COUNTIF(B514:B1983, "Yes")/COUNTA(A514:A1983)</f>
        <v>0.1649269311064718</v>
      </c>
    </row>
    <row r="515" spans="1:38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si="24"/>
        <v>957</v>
      </c>
      <c r="AK515">
        <f t="shared" si="25"/>
        <v>158</v>
      </c>
      <c r="AL515" s="1">
        <f t="shared" si="26"/>
        <v>0.16509926854754442</v>
      </c>
    </row>
    <row r="516" spans="1:38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24"/>
        <v>956</v>
      </c>
      <c r="AK516">
        <f t="shared" si="25"/>
        <v>157</v>
      </c>
      <c r="AL516" s="1">
        <f t="shared" si="26"/>
        <v>0.16422594142259414</v>
      </c>
    </row>
    <row r="517" spans="1:38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24"/>
        <v>955</v>
      </c>
      <c r="AK517">
        <f t="shared" si="25"/>
        <v>156</v>
      </c>
      <c r="AL517" s="1">
        <f t="shared" si="26"/>
        <v>0.16335078534031414</v>
      </c>
    </row>
    <row r="518" spans="1:38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24"/>
        <v>954</v>
      </c>
      <c r="AK518">
        <f t="shared" si="25"/>
        <v>156</v>
      </c>
      <c r="AL518" s="1">
        <f t="shared" si="26"/>
        <v>0.16352201257861634</v>
      </c>
    </row>
    <row r="519" spans="1:38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24"/>
        <v>953</v>
      </c>
      <c r="AK519">
        <f t="shared" si="25"/>
        <v>156</v>
      </c>
      <c r="AL519" s="1">
        <f t="shared" si="26"/>
        <v>0.16369359916054566</v>
      </c>
    </row>
    <row r="520" spans="1:38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24"/>
        <v>952</v>
      </c>
      <c r="AK520">
        <f t="shared" si="25"/>
        <v>156</v>
      </c>
      <c r="AL520" s="1">
        <f t="shared" si="26"/>
        <v>0.1638655462184874</v>
      </c>
    </row>
    <row r="521" spans="1:38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24"/>
        <v>951</v>
      </c>
      <c r="AK521">
        <f t="shared" si="25"/>
        <v>156</v>
      </c>
      <c r="AL521" s="1">
        <f t="shared" si="26"/>
        <v>0.16403785488958991</v>
      </c>
    </row>
    <row r="522" spans="1:38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24"/>
        <v>950</v>
      </c>
      <c r="AK522">
        <f t="shared" si="25"/>
        <v>156</v>
      </c>
      <c r="AL522" s="1">
        <f t="shared" si="26"/>
        <v>0.16421052631578947</v>
      </c>
    </row>
    <row r="523" spans="1:38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24"/>
        <v>949</v>
      </c>
      <c r="AK523">
        <f t="shared" si="25"/>
        <v>156</v>
      </c>
      <c r="AL523" s="1">
        <f t="shared" si="26"/>
        <v>0.16438356164383561</v>
      </c>
    </row>
    <row r="524" spans="1:38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24"/>
        <v>948</v>
      </c>
      <c r="AK524">
        <f t="shared" si="25"/>
        <v>156</v>
      </c>
      <c r="AL524" s="1">
        <f t="shared" si="26"/>
        <v>0.16455696202531644</v>
      </c>
    </row>
    <row r="525" spans="1:38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24"/>
        <v>947</v>
      </c>
      <c r="AK525">
        <f t="shared" si="25"/>
        <v>156</v>
      </c>
      <c r="AL525" s="1">
        <f t="shared" si="26"/>
        <v>0.16473072861668428</v>
      </c>
    </row>
    <row r="526" spans="1:38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24"/>
        <v>946</v>
      </c>
      <c r="AK526">
        <f t="shared" si="25"/>
        <v>156</v>
      </c>
      <c r="AL526" s="1">
        <f t="shared" si="26"/>
        <v>0.16490486257928119</v>
      </c>
    </row>
    <row r="527" spans="1:38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24"/>
        <v>945</v>
      </c>
      <c r="AK527">
        <f t="shared" si="25"/>
        <v>156</v>
      </c>
      <c r="AL527" s="1">
        <f t="shared" si="26"/>
        <v>0.16507936507936508</v>
      </c>
    </row>
    <row r="528" spans="1:38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24"/>
        <v>944</v>
      </c>
      <c r="AK528">
        <f t="shared" si="25"/>
        <v>155</v>
      </c>
      <c r="AL528" s="1">
        <f t="shared" si="26"/>
        <v>0.16419491525423729</v>
      </c>
    </row>
    <row r="529" spans="1:38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24"/>
        <v>943</v>
      </c>
      <c r="AK529">
        <f t="shared" si="25"/>
        <v>155</v>
      </c>
      <c r="AL529" s="1">
        <f t="shared" si="26"/>
        <v>0.16436903499469777</v>
      </c>
    </row>
    <row r="530" spans="1:38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24"/>
        <v>942</v>
      </c>
      <c r="AK530">
        <f t="shared" si="25"/>
        <v>155</v>
      </c>
      <c r="AL530" s="1">
        <f t="shared" si="26"/>
        <v>0.16454352441613587</v>
      </c>
    </row>
    <row r="531" spans="1:38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24"/>
        <v>941</v>
      </c>
      <c r="AK531">
        <f t="shared" si="25"/>
        <v>154</v>
      </c>
      <c r="AL531" s="1">
        <f t="shared" si="26"/>
        <v>0.16365568544102019</v>
      </c>
    </row>
    <row r="532" spans="1:38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24"/>
        <v>940</v>
      </c>
      <c r="AK532">
        <f t="shared" si="25"/>
        <v>154</v>
      </c>
      <c r="AL532" s="1">
        <f t="shared" si="26"/>
        <v>0.16382978723404254</v>
      </c>
    </row>
    <row r="533" spans="1:38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24"/>
        <v>939</v>
      </c>
      <c r="AK533">
        <f t="shared" si="25"/>
        <v>154</v>
      </c>
      <c r="AL533" s="1">
        <f t="shared" si="26"/>
        <v>0.16400425985090522</v>
      </c>
    </row>
    <row r="534" spans="1:38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24"/>
        <v>938</v>
      </c>
      <c r="AK534">
        <f t="shared" si="25"/>
        <v>154</v>
      </c>
      <c r="AL534" s="1">
        <f t="shared" si="26"/>
        <v>0.16417910447761194</v>
      </c>
    </row>
    <row r="535" spans="1:38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24"/>
        <v>937</v>
      </c>
      <c r="AK535">
        <f t="shared" si="25"/>
        <v>154</v>
      </c>
      <c r="AL535" s="1">
        <f t="shared" si="26"/>
        <v>0.16435432230522945</v>
      </c>
    </row>
    <row r="536" spans="1:38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24"/>
        <v>936</v>
      </c>
      <c r="AK536">
        <f t="shared" si="25"/>
        <v>154</v>
      </c>
      <c r="AL536" s="1">
        <f t="shared" si="26"/>
        <v>0.16452991452991453</v>
      </c>
    </row>
    <row r="537" spans="1:38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24"/>
        <v>935</v>
      </c>
      <c r="AK537">
        <f t="shared" si="25"/>
        <v>154</v>
      </c>
      <c r="AL537" s="1">
        <f t="shared" si="26"/>
        <v>0.16470588235294117</v>
      </c>
    </row>
    <row r="538" spans="1:38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24"/>
        <v>934</v>
      </c>
      <c r="AK538">
        <f t="shared" si="25"/>
        <v>154</v>
      </c>
      <c r="AL538" s="1">
        <f t="shared" si="26"/>
        <v>0.16488222698072805</v>
      </c>
    </row>
    <row r="539" spans="1:38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24"/>
        <v>933</v>
      </c>
      <c r="AK539">
        <f t="shared" si="25"/>
        <v>154</v>
      </c>
      <c r="AL539" s="1">
        <f t="shared" si="26"/>
        <v>0.16505894962486603</v>
      </c>
    </row>
    <row r="540" spans="1:38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24"/>
        <v>932</v>
      </c>
      <c r="AK540">
        <f t="shared" si="25"/>
        <v>154</v>
      </c>
      <c r="AL540" s="1">
        <f t="shared" si="26"/>
        <v>0.16523605150214593</v>
      </c>
    </row>
    <row r="541" spans="1:38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24"/>
        <v>931</v>
      </c>
      <c r="AK541">
        <f t="shared" si="25"/>
        <v>154</v>
      </c>
      <c r="AL541" s="1">
        <f t="shared" si="26"/>
        <v>0.16541353383458646</v>
      </c>
    </row>
    <row r="542" spans="1:38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24"/>
        <v>930</v>
      </c>
      <c r="AK542">
        <f t="shared" si="25"/>
        <v>154</v>
      </c>
      <c r="AL542" s="1">
        <f t="shared" si="26"/>
        <v>0.16559139784946236</v>
      </c>
    </row>
    <row r="543" spans="1:38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24"/>
        <v>929</v>
      </c>
      <c r="AK543">
        <f t="shared" si="25"/>
        <v>153</v>
      </c>
      <c r="AL543" s="1">
        <f t="shared" si="26"/>
        <v>0.16469321851453175</v>
      </c>
    </row>
    <row r="544" spans="1:38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24"/>
        <v>928</v>
      </c>
      <c r="AK544">
        <f t="shared" si="25"/>
        <v>153</v>
      </c>
      <c r="AL544" s="1">
        <f t="shared" si="26"/>
        <v>0.1648706896551724</v>
      </c>
    </row>
    <row r="545" spans="1:38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24"/>
        <v>927</v>
      </c>
      <c r="AK545">
        <f t="shared" si="25"/>
        <v>153</v>
      </c>
      <c r="AL545" s="1">
        <f t="shared" si="26"/>
        <v>0.1650485436893204</v>
      </c>
    </row>
    <row r="546" spans="1:38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24"/>
        <v>926</v>
      </c>
      <c r="AK546">
        <f t="shared" si="25"/>
        <v>153</v>
      </c>
      <c r="AL546" s="1">
        <f t="shared" si="26"/>
        <v>0.1652267818574514</v>
      </c>
    </row>
    <row r="547" spans="1:38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24"/>
        <v>925</v>
      </c>
      <c r="AK547">
        <f t="shared" si="25"/>
        <v>153</v>
      </c>
      <c r="AL547" s="1">
        <f t="shared" si="26"/>
        <v>0.16540540540540541</v>
      </c>
    </row>
    <row r="548" spans="1:38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24"/>
        <v>924</v>
      </c>
      <c r="AK548">
        <f t="shared" si="25"/>
        <v>153</v>
      </c>
      <c r="AL548" s="1">
        <f t="shared" si="26"/>
        <v>0.16558441558441558</v>
      </c>
    </row>
    <row r="549" spans="1:38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24"/>
        <v>923</v>
      </c>
      <c r="AK549">
        <f t="shared" si="25"/>
        <v>153</v>
      </c>
      <c r="AL549" s="1">
        <f t="shared" si="26"/>
        <v>0.1657638136511376</v>
      </c>
    </row>
    <row r="550" spans="1:38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24"/>
        <v>922</v>
      </c>
      <c r="AK550">
        <f t="shared" si="25"/>
        <v>152</v>
      </c>
      <c r="AL550" s="1">
        <f t="shared" si="26"/>
        <v>0.16485900216919741</v>
      </c>
    </row>
    <row r="551" spans="1:38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24"/>
        <v>921</v>
      </c>
      <c r="AK551">
        <f t="shared" si="25"/>
        <v>152</v>
      </c>
      <c r="AL551" s="1">
        <f t="shared" si="26"/>
        <v>0.16503800217155265</v>
      </c>
    </row>
    <row r="552" spans="1:38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24"/>
        <v>920</v>
      </c>
      <c r="AK552">
        <f t="shared" si="25"/>
        <v>152</v>
      </c>
      <c r="AL552" s="1">
        <f t="shared" si="26"/>
        <v>0.16521739130434782</v>
      </c>
    </row>
    <row r="553" spans="1:38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24"/>
        <v>919</v>
      </c>
      <c r="AK553">
        <f t="shared" si="25"/>
        <v>152</v>
      </c>
      <c r="AL553" s="1">
        <f t="shared" si="26"/>
        <v>0.16539717083786726</v>
      </c>
    </row>
    <row r="554" spans="1:38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24"/>
        <v>918</v>
      </c>
      <c r="AK554">
        <f t="shared" si="25"/>
        <v>152</v>
      </c>
      <c r="AL554" s="1">
        <f t="shared" si="26"/>
        <v>0.16557734204793029</v>
      </c>
    </row>
    <row r="555" spans="1:38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24"/>
        <v>917</v>
      </c>
      <c r="AK555">
        <f t="shared" si="25"/>
        <v>152</v>
      </c>
      <c r="AL555" s="1">
        <f t="shared" si="26"/>
        <v>0.16575790621592149</v>
      </c>
    </row>
    <row r="556" spans="1:38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24"/>
        <v>916</v>
      </c>
      <c r="AK556">
        <f t="shared" si="25"/>
        <v>152</v>
      </c>
      <c r="AL556" s="1">
        <f t="shared" si="26"/>
        <v>0.16593886462882096</v>
      </c>
    </row>
    <row r="557" spans="1:38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24"/>
        <v>915</v>
      </c>
      <c r="AK557">
        <f t="shared" si="25"/>
        <v>152</v>
      </c>
      <c r="AL557" s="1">
        <f t="shared" si="26"/>
        <v>0.16612021857923498</v>
      </c>
    </row>
    <row r="558" spans="1:38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24"/>
        <v>914</v>
      </c>
      <c r="AK558">
        <f t="shared" si="25"/>
        <v>152</v>
      </c>
      <c r="AL558" s="1">
        <f t="shared" si="26"/>
        <v>0.16630196936542668</v>
      </c>
    </row>
    <row r="559" spans="1:38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24"/>
        <v>913</v>
      </c>
      <c r="AK559">
        <f t="shared" si="25"/>
        <v>152</v>
      </c>
      <c r="AL559" s="1">
        <f t="shared" si="26"/>
        <v>0.16648411829134721</v>
      </c>
    </row>
    <row r="560" spans="1:38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24"/>
        <v>912</v>
      </c>
      <c r="AK560">
        <f t="shared" si="25"/>
        <v>152</v>
      </c>
      <c r="AL560" s="1">
        <f t="shared" si="26"/>
        <v>0.16666666666666666</v>
      </c>
    </row>
    <row r="561" spans="1:38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24"/>
        <v>911</v>
      </c>
      <c r="AK561">
        <f t="shared" si="25"/>
        <v>152</v>
      </c>
      <c r="AL561" s="1">
        <f t="shared" si="26"/>
        <v>0.16684961580680571</v>
      </c>
    </row>
    <row r="562" spans="1:38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24"/>
        <v>910</v>
      </c>
      <c r="AK562">
        <f t="shared" si="25"/>
        <v>152</v>
      </c>
      <c r="AL562" s="1">
        <f t="shared" si="26"/>
        <v>0.16703296703296702</v>
      </c>
    </row>
    <row r="563" spans="1:38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24"/>
        <v>909</v>
      </c>
      <c r="AK563">
        <f t="shared" si="25"/>
        <v>152</v>
      </c>
      <c r="AL563" s="1">
        <f t="shared" si="26"/>
        <v>0.16721672167216722</v>
      </c>
    </row>
    <row r="564" spans="1:38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24"/>
        <v>908</v>
      </c>
      <c r="AK564">
        <f t="shared" si="25"/>
        <v>152</v>
      </c>
      <c r="AL564" s="1">
        <f t="shared" si="26"/>
        <v>0.16740088105726872</v>
      </c>
    </row>
    <row r="565" spans="1:38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24"/>
        <v>907</v>
      </c>
      <c r="AK565">
        <f t="shared" si="25"/>
        <v>151</v>
      </c>
      <c r="AL565" s="1">
        <f t="shared" si="26"/>
        <v>0.16648291069459759</v>
      </c>
    </row>
    <row r="566" spans="1:38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24"/>
        <v>906</v>
      </c>
      <c r="AK566">
        <f t="shared" si="25"/>
        <v>151</v>
      </c>
      <c r="AL566" s="1">
        <f t="shared" si="26"/>
        <v>0.16666666666666666</v>
      </c>
    </row>
    <row r="567" spans="1:38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24"/>
        <v>905</v>
      </c>
      <c r="AK567">
        <f t="shared" si="25"/>
        <v>151</v>
      </c>
      <c r="AL567" s="1">
        <f t="shared" si="26"/>
        <v>0.16685082872928178</v>
      </c>
    </row>
    <row r="568" spans="1:38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24"/>
        <v>904</v>
      </c>
      <c r="AK568">
        <f t="shared" si="25"/>
        <v>151</v>
      </c>
      <c r="AL568" s="1">
        <f t="shared" si="26"/>
        <v>0.16703539823008851</v>
      </c>
    </row>
    <row r="569" spans="1:38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24"/>
        <v>903</v>
      </c>
      <c r="AK569">
        <f t="shared" si="25"/>
        <v>150</v>
      </c>
      <c r="AL569" s="1">
        <f t="shared" si="26"/>
        <v>0.16611295681063123</v>
      </c>
    </row>
    <row r="570" spans="1:38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24"/>
        <v>902</v>
      </c>
      <c r="AK570">
        <f t="shared" si="25"/>
        <v>150</v>
      </c>
      <c r="AL570" s="1">
        <f t="shared" si="26"/>
        <v>0.16629711751662971</v>
      </c>
    </row>
    <row r="571" spans="1:38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24"/>
        <v>901</v>
      </c>
      <c r="AK571">
        <f t="shared" si="25"/>
        <v>149</v>
      </c>
      <c r="AL571" s="1">
        <f t="shared" si="26"/>
        <v>0.16537180910099888</v>
      </c>
    </row>
    <row r="572" spans="1:38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24"/>
        <v>900</v>
      </c>
      <c r="AK572">
        <f t="shared" si="25"/>
        <v>149</v>
      </c>
      <c r="AL572" s="1">
        <f t="shared" si="26"/>
        <v>0.16555555555555557</v>
      </c>
    </row>
    <row r="573" spans="1:38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24"/>
        <v>899</v>
      </c>
      <c r="AK573">
        <f t="shared" si="25"/>
        <v>149</v>
      </c>
      <c r="AL573" s="1">
        <f t="shared" si="26"/>
        <v>0.1657397107897664</v>
      </c>
    </row>
    <row r="574" spans="1:38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24"/>
        <v>898</v>
      </c>
      <c r="AK574">
        <f t="shared" si="25"/>
        <v>149</v>
      </c>
      <c r="AL574" s="1">
        <f t="shared" si="26"/>
        <v>0.16592427616926503</v>
      </c>
    </row>
    <row r="575" spans="1:38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24"/>
        <v>897</v>
      </c>
      <c r="AK575">
        <f t="shared" si="25"/>
        <v>149</v>
      </c>
      <c r="AL575" s="1">
        <f t="shared" si="26"/>
        <v>0.16610925306577481</v>
      </c>
    </row>
    <row r="576" spans="1:38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24"/>
        <v>896</v>
      </c>
      <c r="AK576">
        <f t="shared" si="25"/>
        <v>148</v>
      </c>
      <c r="AL576" s="1">
        <f t="shared" si="26"/>
        <v>0.16517857142857142</v>
      </c>
    </row>
    <row r="577" spans="1:38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24"/>
        <v>895</v>
      </c>
      <c r="AK577">
        <f t="shared" si="25"/>
        <v>148</v>
      </c>
      <c r="AL577" s="1">
        <f t="shared" si="26"/>
        <v>0.1653631284916201</v>
      </c>
    </row>
    <row r="578" spans="1:38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ref="AJ578:AJ641" si="27">COUNTA(A578:A2047)</f>
        <v>894</v>
      </c>
      <c r="AK578">
        <f t="shared" ref="AK578:AK641" si="28">COUNTIF(B578:B2047, "Yes")</f>
        <v>148</v>
      </c>
      <c r="AL578" s="1">
        <f t="shared" ref="AL578:AL641" si="29">COUNTIF(B578:B2047, "Yes")/COUNTA(A578:A2047)</f>
        <v>0.16554809843400448</v>
      </c>
    </row>
    <row r="579" spans="1:38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si="27"/>
        <v>893</v>
      </c>
      <c r="AK579">
        <f t="shared" si="28"/>
        <v>148</v>
      </c>
      <c r="AL579" s="1">
        <f t="shared" si="29"/>
        <v>0.16573348264277715</v>
      </c>
    </row>
    <row r="580" spans="1:38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27"/>
        <v>892</v>
      </c>
      <c r="AK580">
        <f t="shared" si="28"/>
        <v>148</v>
      </c>
      <c r="AL580" s="1">
        <f t="shared" si="29"/>
        <v>0.16591928251121077</v>
      </c>
    </row>
    <row r="581" spans="1:38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27"/>
        <v>891</v>
      </c>
      <c r="AK581">
        <f t="shared" si="28"/>
        <v>148</v>
      </c>
      <c r="AL581" s="1">
        <f t="shared" si="29"/>
        <v>0.16610549943883277</v>
      </c>
    </row>
    <row r="582" spans="1:38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27"/>
        <v>890</v>
      </c>
      <c r="AK582">
        <f t="shared" si="28"/>
        <v>148</v>
      </c>
      <c r="AL582" s="1">
        <f t="shared" si="29"/>
        <v>0.16629213483146069</v>
      </c>
    </row>
    <row r="583" spans="1:38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27"/>
        <v>889</v>
      </c>
      <c r="AK583">
        <f t="shared" si="28"/>
        <v>148</v>
      </c>
      <c r="AL583" s="1">
        <f t="shared" si="29"/>
        <v>0.16647919010123735</v>
      </c>
    </row>
    <row r="584" spans="1:38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27"/>
        <v>888</v>
      </c>
      <c r="AK584">
        <f t="shared" si="28"/>
        <v>148</v>
      </c>
      <c r="AL584" s="1">
        <f t="shared" si="29"/>
        <v>0.16666666666666666</v>
      </c>
    </row>
    <row r="585" spans="1:38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27"/>
        <v>887</v>
      </c>
      <c r="AK585">
        <f t="shared" si="28"/>
        <v>148</v>
      </c>
      <c r="AL585" s="1">
        <f t="shared" si="29"/>
        <v>0.16685456595264939</v>
      </c>
    </row>
    <row r="586" spans="1:38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27"/>
        <v>886</v>
      </c>
      <c r="AK586">
        <f t="shared" si="28"/>
        <v>148</v>
      </c>
      <c r="AL586" s="1">
        <f t="shared" si="29"/>
        <v>0.1670428893905192</v>
      </c>
    </row>
    <row r="587" spans="1:38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27"/>
        <v>885</v>
      </c>
      <c r="AK587">
        <f t="shared" si="28"/>
        <v>148</v>
      </c>
      <c r="AL587" s="1">
        <f t="shared" si="29"/>
        <v>0.16723163841807909</v>
      </c>
    </row>
    <row r="588" spans="1:38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27"/>
        <v>884</v>
      </c>
      <c r="AK588">
        <f t="shared" si="28"/>
        <v>147</v>
      </c>
      <c r="AL588" s="1">
        <f t="shared" si="29"/>
        <v>0.16628959276018099</v>
      </c>
    </row>
    <row r="589" spans="1:38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27"/>
        <v>883</v>
      </c>
      <c r="AK589">
        <f t="shared" si="28"/>
        <v>147</v>
      </c>
      <c r="AL589" s="1">
        <f t="shared" si="29"/>
        <v>0.16647791619479049</v>
      </c>
    </row>
    <row r="590" spans="1:38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27"/>
        <v>882</v>
      </c>
      <c r="AK590">
        <f t="shared" si="28"/>
        <v>147</v>
      </c>
      <c r="AL590" s="1">
        <f t="shared" si="29"/>
        <v>0.16666666666666666</v>
      </c>
    </row>
    <row r="591" spans="1:38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27"/>
        <v>881</v>
      </c>
      <c r="AK591">
        <f t="shared" si="28"/>
        <v>147</v>
      </c>
      <c r="AL591" s="1">
        <f t="shared" si="29"/>
        <v>0.16685584562996594</v>
      </c>
    </row>
    <row r="592" spans="1:38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27"/>
        <v>880</v>
      </c>
      <c r="AK592">
        <f t="shared" si="28"/>
        <v>146</v>
      </c>
      <c r="AL592" s="1">
        <f t="shared" si="29"/>
        <v>0.16590909090909092</v>
      </c>
    </row>
    <row r="593" spans="1:38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27"/>
        <v>879</v>
      </c>
      <c r="AK593">
        <f t="shared" si="28"/>
        <v>146</v>
      </c>
      <c r="AL593" s="1">
        <f t="shared" si="29"/>
        <v>0.16609783845278725</v>
      </c>
    </row>
    <row r="594" spans="1:38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27"/>
        <v>878</v>
      </c>
      <c r="AK594">
        <f t="shared" si="28"/>
        <v>145</v>
      </c>
      <c r="AL594" s="1">
        <f t="shared" si="29"/>
        <v>0.16514806378132119</v>
      </c>
    </row>
    <row r="595" spans="1:38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27"/>
        <v>877</v>
      </c>
      <c r="AK595">
        <f t="shared" si="28"/>
        <v>145</v>
      </c>
      <c r="AL595" s="1">
        <f t="shared" si="29"/>
        <v>0.16533637400228049</v>
      </c>
    </row>
    <row r="596" spans="1:38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27"/>
        <v>876</v>
      </c>
      <c r="AK596">
        <f t="shared" si="28"/>
        <v>145</v>
      </c>
      <c r="AL596" s="1">
        <f t="shared" si="29"/>
        <v>0.16552511415525115</v>
      </c>
    </row>
    <row r="597" spans="1:38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27"/>
        <v>875</v>
      </c>
      <c r="AK597">
        <f t="shared" si="28"/>
        <v>145</v>
      </c>
      <c r="AL597" s="1">
        <f t="shared" si="29"/>
        <v>0.1657142857142857</v>
      </c>
    </row>
    <row r="598" spans="1:38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27"/>
        <v>874</v>
      </c>
      <c r="AK598">
        <f t="shared" si="28"/>
        <v>144</v>
      </c>
      <c r="AL598" s="1">
        <f t="shared" si="29"/>
        <v>0.16475972540045766</v>
      </c>
    </row>
    <row r="599" spans="1:38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27"/>
        <v>873</v>
      </c>
      <c r="AK599">
        <f t="shared" si="28"/>
        <v>144</v>
      </c>
      <c r="AL599" s="1">
        <f t="shared" si="29"/>
        <v>0.16494845360824742</v>
      </c>
    </row>
    <row r="600" spans="1:38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27"/>
        <v>872</v>
      </c>
      <c r="AK600">
        <f t="shared" si="28"/>
        <v>144</v>
      </c>
      <c r="AL600" s="1">
        <f t="shared" si="29"/>
        <v>0.16513761467889909</v>
      </c>
    </row>
    <row r="601" spans="1:38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27"/>
        <v>871</v>
      </c>
      <c r="AK601">
        <f t="shared" si="28"/>
        <v>143</v>
      </c>
      <c r="AL601" s="1">
        <f t="shared" si="29"/>
        <v>0.16417910447761194</v>
      </c>
    </row>
    <row r="602" spans="1:38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27"/>
        <v>870</v>
      </c>
      <c r="AK602">
        <f t="shared" si="28"/>
        <v>143</v>
      </c>
      <c r="AL602" s="1">
        <f t="shared" si="29"/>
        <v>0.16436781609195403</v>
      </c>
    </row>
    <row r="603" spans="1:38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27"/>
        <v>869</v>
      </c>
      <c r="AK603">
        <f t="shared" si="28"/>
        <v>143</v>
      </c>
      <c r="AL603" s="1">
        <f t="shared" si="29"/>
        <v>0.16455696202531644</v>
      </c>
    </row>
    <row r="604" spans="1:38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27"/>
        <v>868</v>
      </c>
      <c r="AK604">
        <f t="shared" si="28"/>
        <v>143</v>
      </c>
      <c r="AL604" s="1">
        <f t="shared" si="29"/>
        <v>0.16474654377880185</v>
      </c>
    </row>
    <row r="605" spans="1:38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27"/>
        <v>867</v>
      </c>
      <c r="AK605">
        <f t="shared" si="28"/>
        <v>143</v>
      </c>
      <c r="AL605" s="1">
        <f t="shared" si="29"/>
        <v>0.16493656286043828</v>
      </c>
    </row>
    <row r="606" spans="1:38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27"/>
        <v>866</v>
      </c>
      <c r="AK606">
        <f t="shared" si="28"/>
        <v>143</v>
      </c>
      <c r="AL606" s="1">
        <f t="shared" si="29"/>
        <v>0.1651270207852194</v>
      </c>
    </row>
    <row r="607" spans="1:38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27"/>
        <v>865</v>
      </c>
      <c r="AK607">
        <f t="shared" si="28"/>
        <v>143</v>
      </c>
      <c r="AL607" s="1">
        <f t="shared" si="29"/>
        <v>0.16531791907514451</v>
      </c>
    </row>
    <row r="608" spans="1:38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27"/>
        <v>864</v>
      </c>
      <c r="AK608">
        <f t="shared" si="28"/>
        <v>143</v>
      </c>
      <c r="AL608" s="1">
        <f t="shared" si="29"/>
        <v>0.16550925925925927</v>
      </c>
    </row>
    <row r="609" spans="1:38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27"/>
        <v>863</v>
      </c>
      <c r="AK609">
        <f t="shared" si="28"/>
        <v>143</v>
      </c>
      <c r="AL609" s="1">
        <f t="shared" si="29"/>
        <v>0.16570104287369641</v>
      </c>
    </row>
    <row r="610" spans="1:38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27"/>
        <v>862</v>
      </c>
      <c r="AK610">
        <f t="shared" si="28"/>
        <v>142</v>
      </c>
      <c r="AL610" s="1">
        <f t="shared" si="29"/>
        <v>0.16473317865429235</v>
      </c>
    </row>
    <row r="611" spans="1:38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27"/>
        <v>861</v>
      </c>
      <c r="AK611">
        <f t="shared" si="28"/>
        <v>141</v>
      </c>
      <c r="AL611" s="1">
        <f t="shared" si="29"/>
        <v>0.16376306620209058</v>
      </c>
    </row>
    <row r="612" spans="1:38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27"/>
        <v>860</v>
      </c>
      <c r="AK612">
        <f t="shared" si="28"/>
        <v>141</v>
      </c>
      <c r="AL612" s="1">
        <f t="shared" si="29"/>
        <v>0.16395348837209303</v>
      </c>
    </row>
    <row r="613" spans="1:38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27"/>
        <v>859</v>
      </c>
      <c r="AK613">
        <f t="shared" si="28"/>
        <v>141</v>
      </c>
      <c r="AL613" s="1">
        <f t="shared" si="29"/>
        <v>0.16414435389988358</v>
      </c>
    </row>
    <row r="614" spans="1:38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27"/>
        <v>858</v>
      </c>
      <c r="AK614">
        <f t="shared" si="28"/>
        <v>141</v>
      </c>
      <c r="AL614" s="1">
        <f t="shared" si="29"/>
        <v>0.16433566433566432</v>
      </c>
    </row>
    <row r="615" spans="1:38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27"/>
        <v>857</v>
      </c>
      <c r="AK615">
        <f t="shared" si="28"/>
        <v>141</v>
      </c>
      <c r="AL615" s="1">
        <f t="shared" si="29"/>
        <v>0.16452742123687281</v>
      </c>
    </row>
    <row r="616" spans="1:38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27"/>
        <v>856</v>
      </c>
      <c r="AK616">
        <f t="shared" si="28"/>
        <v>141</v>
      </c>
      <c r="AL616" s="1">
        <f t="shared" si="29"/>
        <v>0.1647196261682243</v>
      </c>
    </row>
    <row r="617" spans="1:38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27"/>
        <v>855</v>
      </c>
      <c r="AK617">
        <f t="shared" si="28"/>
        <v>140</v>
      </c>
      <c r="AL617" s="1">
        <f t="shared" si="29"/>
        <v>0.16374269005847952</v>
      </c>
    </row>
    <row r="618" spans="1:38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27"/>
        <v>854</v>
      </c>
      <c r="AK618">
        <f t="shared" si="28"/>
        <v>140</v>
      </c>
      <c r="AL618" s="1">
        <f t="shared" si="29"/>
        <v>0.16393442622950818</v>
      </c>
    </row>
    <row r="619" spans="1:38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27"/>
        <v>853</v>
      </c>
      <c r="AK619">
        <f t="shared" si="28"/>
        <v>140</v>
      </c>
      <c r="AL619" s="1">
        <f t="shared" si="29"/>
        <v>0.16412661195779601</v>
      </c>
    </row>
    <row r="620" spans="1:38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27"/>
        <v>852</v>
      </c>
      <c r="AK620">
        <f t="shared" si="28"/>
        <v>140</v>
      </c>
      <c r="AL620" s="1">
        <f t="shared" si="29"/>
        <v>0.16431924882629109</v>
      </c>
    </row>
    <row r="621" spans="1:38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27"/>
        <v>851</v>
      </c>
      <c r="AK621">
        <f t="shared" si="28"/>
        <v>140</v>
      </c>
      <c r="AL621" s="1">
        <f t="shared" si="29"/>
        <v>0.1645123384253819</v>
      </c>
    </row>
    <row r="622" spans="1:38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27"/>
        <v>850</v>
      </c>
      <c r="AK622">
        <f t="shared" si="28"/>
        <v>140</v>
      </c>
      <c r="AL622" s="1">
        <f t="shared" si="29"/>
        <v>0.16470588235294117</v>
      </c>
    </row>
    <row r="623" spans="1:38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27"/>
        <v>849</v>
      </c>
      <c r="AK623">
        <f t="shared" si="28"/>
        <v>140</v>
      </c>
      <c r="AL623" s="1">
        <f t="shared" si="29"/>
        <v>0.16489988221436985</v>
      </c>
    </row>
    <row r="624" spans="1:38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27"/>
        <v>848</v>
      </c>
      <c r="AK624">
        <f t="shared" si="28"/>
        <v>140</v>
      </c>
      <c r="AL624" s="1">
        <f t="shared" si="29"/>
        <v>0.1650943396226415</v>
      </c>
    </row>
    <row r="625" spans="1:38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27"/>
        <v>847</v>
      </c>
      <c r="AK625">
        <f t="shared" si="28"/>
        <v>140</v>
      </c>
      <c r="AL625" s="1">
        <f t="shared" si="29"/>
        <v>0.16528925619834711</v>
      </c>
    </row>
    <row r="626" spans="1:38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27"/>
        <v>846</v>
      </c>
      <c r="AK626">
        <f t="shared" si="28"/>
        <v>140</v>
      </c>
      <c r="AL626" s="1">
        <f t="shared" si="29"/>
        <v>0.16548463356973994</v>
      </c>
    </row>
    <row r="627" spans="1:38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27"/>
        <v>845</v>
      </c>
      <c r="AK627">
        <f t="shared" si="28"/>
        <v>140</v>
      </c>
      <c r="AL627" s="1">
        <f t="shared" si="29"/>
        <v>0.16568047337278108</v>
      </c>
    </row>
    <row r="628" spans="1:38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27"/>
        <v>844</v>
      </c>
      <c r="AK628">
        <f t="shared" si="28"/>
        <v>140</v>
      </c>
      <c r="AL628" s="1">
        <f t="shared" si="29"/>
        <v>0.16587677725118483</v>
      </c>
    </row>
    <row r="629" spans="1:38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27"/>
        <v>843</v>
      </c>
      <c r="AK629">
        <f t="shared" si="28"/>
        <v>140</v>
      </c>
      <c r="AL629" s="1">
        <f t="shared" si="29"/>
        <v>0.166073546856465</v>
      </c>
    </row>
    <row r="630" spans="1:38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27"/>
        <v>842</v>
      </c>
      <c r="AK630">
        <f t="shared" si="28"/>
        <v>140</v>
      </c>
      <c r="AL630" s="1">
        <f t="shared" si="29"/>
        <v>0.166270783847981</v>
      </c>
    </row>
    <row r="631" spans="1:38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27"/>
        <v>841</v>
      </c>
      <c r="AK631">
        <f t="shared" si="28"/>
        <v>140</v>
      </c>
      <c r="AL631" s="1">
        <f t="shared" si="29"/>
        <v>0.16646848989298454</v>
      </c>
    </row>
    <row r="632" spans="1:38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27"/>
        <v>840</v>
      </c>
      <c r="AK632">
        <f t="shared" si="28"/>
        <v>140</v>
      </c>
      <c r="AL632" s="1">
        <f t="shared" si="29"/>
        <v>0.16666666666666666</v>
      </c>
    </row>
    <row r="633" spans="1:38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27"/>
        <v>839</v>
      </c>
      <c r="AK633">
        <f t="shared" si="28"/>
        <v>140</v>
      </c>
      <c r="AL633" s="1">
        <f t="shared" si="29"/>
        <v>0.16686531585220502</v>
      </c>
    </row>
    <row r="634" spans="1:38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27"/>
        <v>838</v>
      </c>
      <c r="AK634">
        <f t="shared" si="28"/>
        <v>140</v>
      </c>
      <c r="AL634" s="1">
        <f t="shared" si="29"/>
        <v>0.16706443914081145</v>
      </c>
    </row>
    <row r="635" spans="1:38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27"/>
        <v>837</v>
      </c>
      <c r="AK635">
        <f t="shared" si="28"/>
        <v>140</v>
      </c>
      <c r="AL635" s="1">
        <f t="shared" si="29"/>
        <v>0.16726403823178015</v>
      </c>
    </row>
    <row r="636" spans="1:38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27"/>
        <v>836</v>
      </c>
      <c r="AK636">
        <f t="shared" si="28"/>
        <v>140</v>
      </c>
      <c r="AL636" s="1">
        <f t="shared" si="29"/>
        <v>0.1674641148325359</v>
      </c>
    </row>
    <row r="637" spans="1:38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27"/>
        <v>835</v>
      </c>
      <c r="AK637">
        <f t="shared" si="28"/>
        <v>140</v>
      </c>
      <c r="AL637" s="1">
        <f t="shared" si="29"/>
        <v>0.16766467065868262</v>
      </c>
    </row>
    <row r="638" spans="1:38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27"/>
        <v>834</v>
      </c>
      <c r="AK638">
        <f t="shared" si="28"/>
        <v>140</v>
      </c>
      <c r="AL638" s="1">
        <f t="shared" si="29"/>
        <v>0.16786570743405277</v>
      </c>
    </row>
    <row r="639" spans="1:38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27"/>
        <v>833</v>
      </c>
      <c r="AK639">
        <f t="shared" si="28"/>
        <v>139</v>
      </c>
      <c r="AL639" s="1">
        <f t="shared" si="29"/>
        <v>0.16686674669867949</v>
      </c>
    </row>
    <row r="640" spans="1:38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27"/>
        <v>832</v>
      </c>
      <c r="AK640">
        <f t="shared" si="28"/>
        <v>139</v>
      </c>
      <c r="AL640" s="1">
        <f t="shared" si="29"/>
        <v>0.16706730769230768</v>
      </c>
    </row>
    <row r="641" spans="1:38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27"/>
        <v>831</v>
      </c>
      <c r="AK641">
        <f t="shared" si="28"/>
        <v>139</v>
      </c>
      <c r="AL641" s="1">
        <f t="shared" si="29"/>
        <v>0.16726835138387486</v>
      </c>
    </row>
    <row r="642" spans="1:38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ref="AJ642:AJ705" si="30">COUNTA(A642:A2111)</f>
        <v>830</v>
      </c>
      <c r="AK642">
        <f t="shared" ref="AK642:AK705" si="31">COUNTIF(B642:B2111, "Yes")</f>
        <v>139</v>
      </c>
      <c r="AL642" s="1">
        <f t="shared" ref="AL642:AL705" si="32">COUNTIF(B642:B2111, "Yes")/COUNTA(A642:A2111)</f>
        <v>0.1674698795180723</v>
      </c>
    </row>
    <row r="643" spans="1:38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si="30"/>
        <v>829</v>
      </c>
      <c r="AK643">
        <f t="shared" si="31"/>
        <v>139</v>
      </c>
      <c r="AL643" s="1">
        <f t="shared" si="32"/>
        <v>0.16767189384800965</v>
      </c>
    </row>
    <row r="644" spans="1:38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30"/>
        <v>828</v>
      </c>
      <c r="AK644">
        <f t="shared" si="31"/>
        <v>139</v>
      </c>
      <c r="AL644" s="1">
        <f t="shared" si="32"/>
        <v>0.1678743961352657</v>
      </c>
    </row>
    <row r="645" spans="1:38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30"/>
        <v>827</v>
      </c>
      <c r="AK645">
        <f t="shared" si="31"/>
        <v>139</v>
      </c>
      <c r="AL645" s="1">
        <f t="shared" si="32"/>
        <v>0.16807738814993953</v>
      </c>
    </row>
    <row r="646" spans="1:38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30"/>
        <v>826</v>
      </c>
      <c r="AK646">
        <f t="shared" si="31"/>
        <v>139</v>
      </c>
      <c r="AL646" s="1">
        <f t="shared" si="32"/>
        <v>0.16828087167070219</v>
      </c>
    </row>
    <row r="647" spans="1:38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30"/>
        <v>825</v>
      </c>
      <c r="AK647">
        <f t="shared" si="31"/>
        <v>139</v>
      </c>
      <c r="AL647" s="1">
        <f t="shared" si="32"/>
        <v>0.16848484848484849</v>
      </c>
    </row>
    <row r="648" spans="1:38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30"/>
        <v>824</v>
      </c>
      <c r="AK648">
        <f t="shared" si="31"/>
        <v>138</v>
      </c>
      <c r="AL648" s="1">
        <f t="shared" si="32"/>
        <v>0.16747572815533981</v>
      </c>
    </row>
    <row r="649" spans="1:38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30"/>
        <v>823</v>
      </c>
      <c r="AK649">
        <f t="shared" si="31"/>
        <v>138</v>
      </c>
      <c r="AL649" s="1">
        <f t="shared" si="32"/>
        <v>0.16767922235722965</v>
      </c>
    </row>
    <row r="650" spans="1:38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30"/>
        <v>822</v>
      </c>
      <c r="AK650">
        <f t="shared" si="31"/>
        <v>138</v>
      </c>
      <c r="AL650" s="1">
        <f t="shared" si="32"/>
        <v>0.16788321167883211</v>
      </c>
    </row>
    <row r="651" spans="1:38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30"/>
        <v>821</v>
      </c>
      <c r="AK651">
        <f t="shared" si="31"/>
        <v>138</v>
      </c>
      <c r="AL651" s="1">
        <f t="shared" si="32"/>
        <v>0.16808769792935443</v>
      </c>
    </row>
    <row r="652" spans="1:38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30"/>
        <v>820</v>
      </c>
      <c r="AK652">
        <f t="shared" si="31"/>
        <v>138</v>
      </c>
      <c r="AL652" s="1">
        <f t="shared" si="32"/>
        <v>0.16829268292682928</v>
      </c>
    </row>
    <row r="653" spans="1:38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30"/>
        <v>819</v>
      </c>
      <c r="AK653">
        <f t="shared" si="31"/>
        <v>138</v>
      </c>
      <c r="AL653" s="1">
        <f t="shared" si="32"/>
        <v>0.16849816849816851</v>
      </c>
    </row>
    <row r="654" spans="1:38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30"/>
        <v>818</v>
      </c>
      <c r="AK654">
        <f t="shared" si="31"/>
        <v>138</v>
      </c>
      <c r="AL654" s="1">
        <f t="shared" si="32"/>
        <v>0.1687041564792176</v>
      </c>
    </row>
    <row r="655" spans="1:38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30"/>
        <v>817</v>
      </c>
      <c r="AK655">
        <f t="shared" si="31"/>
        <v>138</v>
      </c>
      <c r="AL655" s="1">
        <f t="shared" si="32"/>
        <v>0.16891064871481029</v>
      </c>
    </row>
    <row r="656" spans="1:38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30"/>
        <v>816</v>
      </c>
      <c r="AK656">
        <f t="shared" si="31"/>
        <v>138</v>
      </c>
      <c r="AL656" s="1">
        <f t="shared" si="32"/>
        <v>0.16911764705882354</v>
      </c>
    </row>
    <row r="657" spans="1:38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30"/>
        <v>815</v>
      </c>
      <c r="AK657">
        <f t="shared" si="31"/>
        <v>138</v>
      </c>
      <c r="AL657" s="1">
        <f t="shared" si="32"/>
        <v>0.16932515337423312</v>
      </c>
    </row>
    <row r="658" spans="1:38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30"/>
        <v>814</v>
      </c>
      <c r="AK658">
        <f t="shared" si="31"/>
        <v>138</v>
      </c>
      <c r="AL658" s="1">
        <f t="shared" si="32"/>
        <v>0.16953316953316952</v>
      </c>
    </row>
    <row r="659" spans="1:38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30"/>
        <v>813</v>
      </c>
      <c r="AK659">
        <f t="shared" si="31"/>
        <v>137</v>
      </c>
      <c r="AL659" s="1">
        <f t="shared" si="32"/>
        <v>0.16851168511685116</v>
      </c>
    </row>
    <row r="660" spans="1:38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30"/>
        <v>812</v>
      </c>
      <c r="AK660">
        <f t="shared" si="31"/>
        <v>137</v>
      </c>
      <c r="AL660" s="1">
        <f t="shared" si="32"/>
        <v>0.16871921182266009</v>
      </c>
    </row>
    <row r="661" spans="1:38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30"/>
        <v>811</v>
      </c>
      <c r="AK661">
        <f t="shared" si="31"/>
        <v>137</v>
      </c>
      <c r="AL661" s="1">
        <f t="shared" si="32"/>
        <v>0.16892725030826142</v>
      </c>
    </row>
    <row r="662" spans="1:38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30"/>
        <v>810</v>
      </c>
      <c r="AK662">
        <f t="shared" si="31"/>
        <v>137</v>
      </c>
      <c r="AL662" s="1">
        <f t="shared" si="32"/>
        <v>0.16913580246913582</v>
      </c>
    </row>
    <row r="663" spans="1:38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30"/>
        <v>809</v>
      </c>
      <c r="AK663">
        <f t="shared" si="31"/>
        <v>136</v>
      </c>
      <c r="AL663" s="1">
        <f t="shared" si="32"/>
        <v>0.1681087762669963</v>
      </c>
    </row>
    <row r="664" spans="1:38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30"/>
        <v>808</v>
      </c>
      <c r="AK664">
        <f t="shared" si="31"/>
        <v>136</v>
      </c>
      <c r="AL664" s="1">
        <f t="shared" si="32"/>
        <v>0.16831683168316833</v>
      </c>
    </row>
    <row r="665" spans="1:38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30"/>
        <v>807</v>
      </c>
      <c r="AK665">
        <f t="shared" si="31"/>
        <v>135</v>
      </c>
      <c r="AL665" s="1">
        <f t="shared" si="32"/>
        <v>0.16728624535315986</v>
      </c>
    </row>
    <row r="666" spans="1:38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30"/>
        <v>806</v>
      </c>
      <c r="AK666">
        <f t="shared" si="31"/>
        <v>134</v>
      </c>
      <c r="AL666" s="1">
        <f t="shared" si="32"/>
        <v>0.16625310173697269</v>
      </c>
    </row>
    <row r="667" spans="1:38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30"/>
        <v>805</v>
      </c>
      <c r="AK667">
        <f t="shared" si="31"/>
        <v>134</v>
      </c>
      <c r="AL667" s="1">
        <f t="shared" si="32"/>
        <v>0.16645962732919253</v>
      </c>
    </row>
    <row r="668" spans="1:38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30"/>
        <v>804</v>
      </c>
      <c r="AK668">
        <f t="shared" si="31"/>
        <v>134</v>
      </c>
      <c r="AL668" s="1">
        <f t="shared" si="32"/>
        <v>0.16666666666666666</v>
      </c>
    </row>
    <row r="669" spans="1:38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30"/>
        <v>803</v>
      </c>
      <c r="AK669">
        <f t="shared" si="31"/>
        <v>133</v>
      </c>
      <c r="AL669" s="1">
        <f t="shared" si="32"/>
        <v>0.16562889165628891</v>
      </c>
    </row>
    <row r="670" spans="1:38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30"/>
        <v>802</v>
      </c>
      <c r="AK670">
        <f t="shared" si="31"/>
        <v>132</v>
      </c>
      <c r="AL670" s="1">
        <f t="shared" si="32"/>
        <v>0.16458852867830423</v>
      </c>
    </row>
    <row r="671" spans="1:38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30"/>
        <v>801</v>
      </c>
      <c r="AK671">
        <f t="shared" si="31"/>
        <v>132</v>
      </c>
      <c r="AL671" s="1">
        <f t="shared" si="32"/>
        <v>0.16479400749063669</v>
      </c>
    </row>
    <row r="672" spans="1:38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30"/>
        <v>800</v>
      </c>
      <c r="AK672">
        <f t="shared" si="31"/>
        <v>131</v>
      </c>
      <c r="AL672" s="1">
        <f t="shared" si="32"/>
        <v>0.16375000000000001</v>
      </c>
    </row>
    <row r="673" spans="1:38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30"/>
        <v>799</v>
      </c>
      <c r="AK673">
        <f t="shared" si="31"/>
        <v>131</v>
      </c>
      <c r="AL673" s="1">
        <f t="shared" si="32"/>
        <v>0.16395494367959951</v>
      </c>
    </row>
    <row r="674" spans="1:38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30"/>
        <v>798</v>
      </c>
      <c r="AK674">
        <f t="shared" si="31"/>
        <v>131</v>
      </c>
      <c r="AL674" s="1">
        <f t="shared" si="32"/>
        <v>0.16416040100250626</v>
      </c>
    </row>
    <row r="675" spans="1:38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30"/>
        <v>797</v>
      </c>
      <c r="AK675">
        <f t="shared" si="31"/>
        <v>131</v>
      </c>
      <c r="AL675" s="1">
        <f t="shared" si="32"/>
        <v>0.16436637390213299</v>
      </c>
    </row>
    <row r="676" spans="1:38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30"/>
        <v>796</v>
      </c>
      <c r="AK676">
        <f t="shared" si="31"/>
        <v>131</v>
      </c>
      <c r="AL676" s="1">
        <f t="shared" si="32"/>
        <v>0.16457286432160803</v>
      </c>
    </row>
    <row r="677" spans="1:38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30"/>
        <v>795</v>
      </c>
      <c r="AK677">
        <f t="shared" si="31"/>
        <v>131</v>
      </c>
      <c r="AL677" s="1">
        <f t="shared" si="32"/>
        <v>0.16477987421383647</v>
      </c>
    </row>
    <row r="678" spans="1:38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30"/>
        <v>794</v>
      </c>
      <c r="AK678">
        <f t="shared" si="31"/>
        <v>131</v>
      </c>
      <c r="AL678" s="1">
        <f t="shared" si="32"/>
        <v>0.16498740554156172</v>
      </c>
    </row>
    <row r="679" spans="1:38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30"/>
        <v>793</v>
      </c>
      <c r="AK679">
        <f t="shared" si="31"/>
        <v>131</v>
      </c>
      <c r="AL679" s="1">
        <f t="shared" si="32"/>
        <v>0.16519546027742749</v>
      </c>
    </row>
    <row r="680" spans="1:38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30"/>
        <v>792</v>
      </c>
      <c r="AK680">
        <f t="shared" si="31"/>
        <v>131</v>
      </c>
      <c r="AL680" s="1">
        <f t="shared" si="32"/>
        <v>0.16540404040404041</v>
      </c>
    </row>
    <row r="681" spans="1:38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30"/>
        <v>791</v>
      </c>
      <c r="AK681">
        <f t="shared" si="31"/>
        <v>131</v>
      </c>
      <c r="AL681" s="1">
        <f t="shared" si="32"/>
        <v>0.16561314791403287</v>
      </c>
    </row>
    <row r="682" spans="1:38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30"/>
        <v>790</v>
      </c>
      <c r="AK682">
        <f t="shared" si="31"/>
        <v>131</v>
      </c>
      <c r="AL682" s="1">
        <f t="shared" si="32"/>
        <v>0.16582278481012658</v>
      </c>
    </row>
    <row r="683" spans="1:38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30"/>
        <v>789</v>
      </c>
      <c r="AK683">
        <f t="shared" si="31"/>
        <v>131</v>
      </c>
      <c r="AL683" s="1">
        <f t="shared" si="32"/>
        <v>0.16603295310519645</v>
      </c>
    </row>
    <row r="684" spans="1:38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30"/>
        <v>788</v>
      </c>
      <c r="AK684">
        <f t="shared" si="31"/>
        <v>131</v>
      </c>
      <c r="AL684" s="1">
        <f t="shared" si="32"/>
        <v>0.16624365482233502</v>
      </c>
    </row>
    <row r="685" spans="1:38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30"/>
        <v>787</v>
      </c>
      <c r="AK685">
        <f t="shared" si="31"/>
        <v>131</v>
      </c>
      <c r="AL685" s="1">
        <f t="shared" si="32"/>
        <v>0.16645489199491742</v>
      </c>
    </row>
    <row r="686" spans="1:38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30"/>
        <v>786</v>
      </c>
      <c r="AK686">
        <f t="shared" si="31"/>
        <v>130</v>
      </c>
      <c r="AL686" s="1">
        <f t="shared" si="32"/>
        <v>0.16539440203562342</v>
      </c>
    </row>
    <row r="687" spans="1:38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30"/>
        <v>785</v>
      </c>
      <c r="AK687">
        <f t="shared" si="31"/>
        <v>130</v>
      </c>
      <c r="AL687" s="1">
        <f t="shared" si="32"/>
        <v>0.16560509554140126</v>
      </c>
    </row>
    <row r="688" spans="1:38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30"/>
        <v>784</v>
      </c>
      <c r="AK688">
        <f t="shared" si="31"/>
        <v>130</v>
      </c>
      <c r="AL688" s="1">
        <f t="shared" si="32"/>
        <v>0.16581632653061223</v>
      </c>
    </row>
    <row r="689" spans="1:38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30"/>
        <v>783</v>
      </c>
      <c r="AK689">
        <f t="shared" si="31"/>
        <v>130</v>
      </c>
      <c r="AL689" s="1">
        <f t="shared" si="32"/>
        <v>0.16602809706257982</v>
      </c>
    </row>
    <row r="690" spans="1:38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30"/>
        <v>782</v>
      </c>
      <c r="AK690">
        <f t="shared" si="31"/>
        <v>130</v>
      </c>
      <c r="AL690" s="1">
        <f t="shared" si="32"/>
        <v>0.16624040920716113</v>
      </c>
    </row>
    <row r="691" spans="1:38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30"/>
        <v>781</v>
      </c>
      <c r="AK691">
        <f t="shared" si="31"/>
        <v>129</v>
      </c>
      <c r="AL691" s="1">
        <f t="shared" si="32"/>
        <v>0.16517285531370038</v>
      </c>
    </row>
    <row r="692" spans="1:38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30"/>
        <v>780</v>
      </c>
      <c r="AK692">
        <f t="shared" si="31"/>
        <v>128</v>
      </c>
      <c r="AL692" s="1">
        <f t="shared" si="32"/>
        <v>0.1641025641025641</v>
      </c>
    </row>
    <row r="693" spans="1:38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30"/>
        <v>779</v>
      </c>
      <c r="AK693">
        <f t="shared" si="31"/>
        <v>128</v>
      </c>
      <c r="AL693" s="1">
        <f t="shared" si="32"/>
        <v>0.16431322207958921</v>
      </c>
    </row>
    <row r="694" spans="1:38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30"/>
        <v>778</v>
      </c>
      <c r="AK694">
        <f t="shared" si="31"/>
        <v>128</v>
      </c>
      <c r="AL694" s="1">
        <f t="shared" si="32"/>
        <v>0.16452442159383032</v>
      </c>
    </row>
    <row r="695" spans="1:38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30"/>
        <v>777</v>
      </c>
      <c r="AK695">
        <f t="shared" si="31"/>
        <v>128</v>
      </c>
      <c r="AL695" s="1">
        <f t="shared" si="32"/>
        <v>0.16473616473616473</v>
      </c>
    </row>
    <row r="696" spans="1:38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30"/>
        <v>776</v>
      </c>
      <c r="AK696">
        <f t="shared" si="31"/>
        <v>127</v>
      </c>
      <c r="AL696" s="1">
        <f t="shared" si="32"/>
        <v>0.16365979381443299</v>
      </c>
    </row>
    <row r="697" spans="1:38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30"/>
        <v>775</v>
      </c>
      <c r="AK697">
        <f t="shared" si="31"/>
        <v>127</v>
      </c>
      <c r="AL697" s="1">
        <f t="shared" si="32"/>
        <v>0.16387096774193549</v>
      </c>
    </row>
    <row r="698" spans="1:38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30"/>
        <v>774</v>
      </c>
      <c r="AK698">
        <f t="shared" si="31"/>
        <v>126</v>
      </c>
      <c r="AL698" s="1">
        <f t="shared" si="32"/>
        <v>0.16279069767441862</v>
      </c>
    </row>
    <row r="699" spans="1:38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30"/>
        <v>773</v>
      </c>
      <c r="AK699">
        <f t="shared" si="31"/>
        <v>126</v>
      </c>
      <c r="AL699" s="1">
        <f t="shared" si="32"/>
        <v>0.16300129366106081</v>
      </c>
    </row>
    <row r="700" spans="1:38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30"/>
        <v>772</v>
      </c>
      <c r="AK700">
        <f t="shared" si="31"/>
        <v>126</v>
      </c>
      <c r="AL700" s="1">
        <f t="shared" si="32"/>
        <v>0.16321243523316062</v>
      </c>
    </row>
    <row r="701" spans="1:38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30"/>
        <v>771</v>
      </c>
      <c r="AK701">
        <f t="shared" si="31"/>
        <v>126</v>
      </c>
      <c r="AL701" s="1">
        <f t="shared" si="32"/>
        <v>0.16342412451361868</v>
      </c>
    </row>
    <row r="702" spans="1:38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30"/>
        <v>770</v>
      </c>
      <c r="AK702">
        <f t="shared" si="31"/>
        <v>126</v>
      </c>
      <c r="AL702" s="1">
        <f t="shared" si="32"/>
        <v>0.16363636363636364</v>
      </c>
    </row>
    <row r="703" spans="1:38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30"/>
        <v>769</v>
      </c>
      <c r="AK703">
        <f t="shared" si="31"/>
        <v>125</v>
      </c>
      <c r="AL703" s="1">
        <f t="shared" si="32"/>
        <v>0.1625487646293888</v>
      </c>
    </row>
    <row r="704" spans="1:38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30"/>
        <v>768</v>
      </c>
      <c r="AK704">
        <f t="shared" si="31"/>
        <v>125</v>
      </c>
      <c r="AL704" s="1">
        <f t="shared" si="32"/>
        <v>0.16276041666666666</v>
      </c>
    </row>
    <row r="705" spans="1:38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30"/>
        <v>767</v>
      </c>
      <c r="AK705">
        <f t="shared" si="31"/>
        <v>125</v>
      </c>
      <c r="AL705" s="1">
        <f t="shared" si="32"/>
        <v>0.16297262059973924</v>
      </c>
    </row>
    <row r="706" spans="1:38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ref="AJ706:AJ769" si="33">COUNTA(A706:A2175)</f>
        <v>766</v>
      </c>
      <c r="AK706">
        <f t="shared" ref="AK706:AK769" si="34">COUNTIF(B706:B2175, "Yes")</f>
        <v>125</v>
      </c>
      <c r="AL706" s="1">
        <f t="shared" ref="AL706:AL769" si="35">COUNTIF(B706:B2175, "Yes")/COUNTA(A706:A2175)</f>
        <v>0.16318537859007834</v>
      </c>
    </row>
    <row r="707" spans="1:38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si="33"/>
        <v>765</v>
      </c>
      <c r="AK707">
        <f t="shared" si="34"/>
        <v>125</v>
      </c>
      <c r="AL707" s="1">
        <f t="shared" si="35"/>
        <v>0.16339869281045752</v>
      </c>
    </row>
    <row r="708" spans="1:38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33"/>
        <v>764</v>
      </c>
      <c r="AK708">
        <f t="shared" si="34"/>
        <v>125</v>
      </c>
      <c r="AL708" s="1">
        <f t="shared" si="35"/>
        <v>0.16361256544502617</v>
      </c>
    </row>
    <row r="709" spans="1:38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33"/>
        <v>763</v>
      </c>
      <c r="AK709">
        <f t="shared" si="34"/>
        <v>124</v>
      </c>
      <c r="AL709" s="1">
        <f t="shared" si="35"/>
        <v>0.16251638269986893</v>
      </c>
    </row>
    <row r="710" spans="1:38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33"/>
        <v>762</v>
      </c>
      <c r="AK710">
        <f t="shared" si="34"/>
        <v>124</v>
      </c>
      <c r="AL710" s="1">
        <f t="shared" si="35"/>
        <v>0.16272965879265092</v>
      </c>
    </row>
    <row r="711" spans="1:38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33"/>
        <v>761</v>
      </c>
      <c r="AK711">
        <f t="shared" si="34"/>
        <v>124</v>
      </c>
      <c r="AL711" s="1">
        <f t="shared" si="35"/>
        <v>0.16294349540078842</v>
      </c>
    </row>
    <row r="712" spans="1:38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33"/>
        <v>760</v>
      </c>
      <c r="AK712">
        <f t="shared" si="34"/>
        <v>123</v>
      </c>
      <c r="AL712" s="1">
        <f t="shared" si="35"/>
        <v>0.1618421052631579</v>
      </c>
    </row>
    <row r="713" spans="1:38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33"/>
        <v>759</v>
      </c>
      <c r="AK713">
        <f t="shared" si="34"/>
        <v>123</v>
      </c>
      <c r="AL713" s="1">
        <f t="shared" si="35"/>
        <v>0.16205533596837945</v>
      </c>
    </row>
    <row r="714" spans="1:38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33"/>
        <v>758</v>
      </c>
      <c r="AK714">
        <f t="shared" si="34"/>
        <v>122</v>
      </c>
      <c r="AL714" s="1">
        <f t="shared" si="35"/>
        <v>0.16094986807387862</v>
      </c>
    </row>
    <row r="715" spans="1:38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33"/>
        <v>757</v>
      </c>
      <c r="AK715">
        <f t="shared" si="34"/>
        <v>122</v>
      </c>
      <c r="AL715" s="1">
        <f t="shared" si="35"/>
        <v>0.16116248348745046</v>
      </c>
    </row>
    <row r="716" spans="1:38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33"/>
        <v>756</v>
      </c>
      <c r="AK716">
        <f t="shared" si="34"/>
        <v>122</v>
      </c>
      <c r="AL716" s="1">
        <f t="shared" si="35"/>
        <v>0.16137566137566137</v>
      </c>
    </row>
    <row r="717" spans="1:38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33"/>
        <v>755</v>
      </c>
      <c r="AK717">
        <f t="shared" si="34"/>
        <v>122</v>
      </c>
      <c r="AL717" s="1">
        <f t="shared" si="35"/>
        <v>0.16158940397350993</v>
      </c>
    </row>
    <row r="718" spans="1:38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33"/>
        <v>754</v>
      </c>
      <c r="AK718">
        <f t="shared" si="34"/>
        <v>122</v>
      </c>
      <c r="AL718" s="1">
        <f t="shared" si="35"/>
        <v>0.16180371352785147</v>
      </c>
    </row>
    <row r="719" spans="1:38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33"/>
        <v>753</v>
      </c>
      <c r="AK719">
        <f t="shared" si="34"/>
        <v>122</v>
      </c>
      <c r="AL719" s="1">
        <f t="shared" si="35"/>
        <v>0.16201859229747675</v>
      </c>
    </row>
    <row r="720" spans="1:38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33"/>
        <v>752</v>
      </c>
      <c r="AK720">
        <f t="shared" si="34"/>
        <v>122</v>
      </c>
      <c r="AL720" s="1">
        <f t="shared" si="35"/>
        <v>0.16223404255319149</v>
      </c>
    </row>
    <row r="721" spans="1:38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33"/>
        <v>751</v>
      </c>
      <c r="AK721">
        <f t="shared" si="34"/>
        <v>122</v>
      </c>
      <c r="AL721" s="1">
        <f t="shared" si="35"/>
        <v>0.16245006657789615</v>
      </c>
    </row>
    <row r="722" spans="1:38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33"/>
        <v>750</v>
      </c>
      <c r="AK722">
        <f t="shared" si="34"/>
        <v>122</v>
      </c>
      <c r="AL722" s="1">
        <f t="shared" si="35"/>
        <v>0.16266666666666665</v>
      </c>
    </row>
    <row r="723" spans="1:38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33"/>
        <v>749</v>
      </c>
      <c r="AK723">
        <f t="shared" si="34"/>
        <v>121</v>
      </c>
      <c r="AL723" s="1">
        <f t="shared" si="35"/>
        <v>0.16154873164218958</v>
      </c>
    </row>
    <row r="724" spans="1:38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33"/>
        <v>748</v>
      </c>
      <c r="AK724">
        <f t="shared" si="34"/>
        <v>121</v>
      </c>
      <c r="AL724" s="1">
        <f t="shared" si="35"/>
        <v>0.16176470588235295</v>
      </c>
    </row>
    <row r="725" spans="1:38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33"/>
        <v>747</v>
      </c>
      <c r="AK725">
        <f t="shared" si="34"/>
        <v>121</v>
      </c>
      <c r="AL725" s="1">
        <f t="shared" si="35"/>
        <v>0.16198125836680052</v>
      </c>
    </row>
    <row r="726" spans="1:38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33"/>
        <v>746</v>
      </c>
      <c r="AK726">
        <f t="shared" si="34"/>
        <v>121</v>
      </c>
      <c r="AL726" s="1">
        <f t="shared" si="35"/>
        <v>0.16219839142091153</v>
      </c>
    </row>
    <row r="727" spans="1:38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33"/>
        <v>745</v>
      </c>
      <c r="AK727">
        <f t="shared" si="34"/>
        <v>121</v>
      </c>
      <c r="AL727" s="1">
        <f t="shared" si="35"/>
        <v>0.16241610738255033</v>
      </c>
    </row>
    <row r="728" spans="1:38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33"/>
        <v>744</v>
      </c>
      <c r="AK728">
        <f t="shared" si="34"/>
        <v>120</v>
      </c>
      <c r="AL728" s="1">
        <f t="shared" si="35"/>
        <v>0.16129032258064516</v>
      </c>
    </row>
    <row r="729" spans="1:38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33"/>
        <v>743</v>
      </c>
      <c r="AK729">
        <f t="shared" si="34"/>
        <v>120</v>
      </c>
      <c r="AL729" s="1">
        <f t="shared" si="35"/>
        <v>0.16150740242261102</v>
      </c>
    </row>
    <row r="730" spans="1:38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33"/>
        <v>742</v>
      </c>
      <c r="AK730">
        <f t="shared" si="34"/>
        <v>120</v>
      </c>
      <c r="AL730" s="1">
        <f t="shared" si="35"/>
        <v>0.16172506738544473</v>
      </c>
    </row>
    <row r="731" spans="1:38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33"/>
        <v>741</v>
      </c>
      <c r="AK731">
        <f t="shared" si="34"/>
        <v>120</v>
      </c>
      <c r="AL731" s="1">
        <f t="shared" si="35"/>
        <v>0.16194331983805668</v>
      </c>
    </row>
    <row r="732" spans="1:38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33"/>
        <v>740</v>
      </c>
      <c r="AK732">
        <f t="shared" si="34"/>
        <v>120</v>
      </c>
      <c r="AL732" s="1">
        <f t="shared" si="35"/>
        <v>0.16216216216216217</v>
      </c>
    </row>
    <row r="733" spans="1:38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33"/>
        <v>739</v>
      </c>
      <c r="AK733">
        <f t="shared" si="34"/>
        <v>120</v>
      </c>
      <c r="AL733" s="1">
        <f t="shared" si="35"/>
        <v>0.16238159675236807</v>
      </c>
    </row>
    <row r="734" spans="1:38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33"/>
        <v>738</v>
      </c>
      <c r="AK734">
        <f t="shared" si="34"/>
        <v>119</v>
      </c>
      <c r="AL734" s="1">
        <f t="shared" si="35"/>
        <v>0.16124661246612465</v>
      </c>
    </row>
    <row r="735" spans="1:38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33"/>
        <v>737</v>
      </c>
      <c r="AK735">
        <f t="shared" si="34"/>
        <v>118</v>
      </c>
      <c r="AL735" s="1">
        <f t="shared" si="35"/>
        <v>0.16010854816824965</v>
      </c>
    </row>
    <row r="736" spans="1:38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33"/>
        <v>736</v>
      </c>
      <c r="AK736">
        <f t="shared" si="34"/>
        <v>118</v>
      </c>
      <c r="AL736" s="1">
        <f t="shared" si="35"/>
        <v>0.16032608695652173</v>
      </c>
    </row>
    <row r="737" spans="1:38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33"/>
        <v>735</v>
      </c>
      <c r="AK737">
        <f t="shared" si="34"/>
        <v>118</v>
      </c>
      <c r="AL737" s="1">
        <f t="shared" si="35"/>
        <v>0.16054421768707483</v>
      </c>
    </row>
    <row r="738" spans="1:38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33"/>
        <v>734</v>
      </c>
      <c r="AK738">
        <f t="shared" si="34"/>
        <v>118</v>
      </c>
      <c r="AL738" s="1">
        <f t="shared" si="35"/>
        <v>0.16076294277929154</v>
      </c>
    </row>
    <row r="739" spans="1:38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33"/>
        <v>733</v>
      </c>
      <c r="AK739">
        <f t="shared" si="34"/>
        <v>118</v>
      </c>
      <c r="AL739" s="1">
        <f t="shared" si="35"/>
        <v>0.16098226466575716</v>
      </c>
    </row>
    <row r="740" spans="1:38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33"/>
        <v>732</v>
      </c>
      <c r="AK740">
        <f t="shared" si="34"/>
        <v>118</v>
      </c>
      <c r="AL740" s="1">
        <f t="shared" si="35"/>
        <v>0.16120218579234974</v>
      </c>
    </row>
    <row r="741" spans="1:38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33"/>
        <v>731</v>
      </c>
      <c r="AK741">
        <f t="shared" si="34"/>
        <v>118</v>
      </c>
      <c r="AL741" s="1">
        <f t="shared" si="35"/>
        <v>0.16142270861833105</v>
      </c>
    </row>
    <row r="742" spans="1:38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33"/>
        <v>730</v>
      </c>
      <c r="AK742">
        <f t="shared" si="34"/>
        <v>118</v>
      </c>
      <c r="AL742" s="1">
        <f t="shared" si="35"/>
        <v>0.16164383561643836</v>
      </c>
    </row>
    <row r="743" spans="1:38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33"/>
        <v>729</v>
      </c>
      <c r="AK743">
        <f t="shared" si="34"/>
        <v>118</v>
      </c>
      <c r="AL743" s="1">
        <f t="shared" si="35"/>
        <v>0.16186556927297668</v>
      </c>
    </row>
    <row r="744" spans="1:38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33"/>
        <v>728</v>
      </c>
      <c r="AK744">
        <f t="shared" si="34"/>
        <v>118</v>
      </c>
      <c r="AL744" s="1">
        <f t="shared" si="35"/>
        <v>0.16208791208791209</v>
      </c>
    </row>
    <row r="745" spans="1:38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33"/>
        <v>727</v>
      </c>
      <c r="AK745">
        <f t="shared" si="34"/>
        <v>118</v>
      </c>
      <c r="AL745" s="1">
        <f t="shared" si="35"/>
        <v>0.1623108665749656</v>
      </c>
    </row>
    <row r="746" spans="1:38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33"/>
        <v>726</v>
      </c>
      <c r="AK746">
        <f t="shared" si="34"/>
        <v>118</v>
      </c>
      <c r="AL746" s="1">
        <f t="shared" si="35"/>
        <v>0.16253443526170799</v>
      </c>
    </row>
    <row r="747" spans="1:38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33"/>
        <v>725</v>
      </c>
      <c r="AK747">
        <f t="shared" si="34"/>
        <v>117</v>
      </c>
      <c r="AL747" s="1">
        <f t="shared" si="35"/>
        <v>0.16137931034482758</v>
      </c>
    </row>
    <row r="748" spans="1:38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33"/>
        <v>724</v>
      </c>
      <c r="AK748">
        <f t="shared" si="34"/>
        <v>117</v>
      </c>
      <c r="AL748" s="1">
        <f t="shared" si="35"/>
        <v>0.16160220994475138</v>
      </c>
    </row>
    <row r="749" spans="1:38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33"/>
        <v>723</v>
      </c>
      <c r="AK749">
        <f t="shared" si="34"/>
        <v>117</v>
      </c>
      <c r="AL749" s="1">
        <f t="shared" si="35"/>
        <v>0.16182572614107885</v>
      </c>
    </row>
    <row r="750" spans="1:38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33"/>
        <v>722</v>
      </c>
      <c r="AK750">
        <f t="shared" si="34"/>
        <v>117</v>
      </c>
      <c r="AL750" s="1">
        <f t="shared" si="35"/>
        <v>0.16204986149584488</v>
      </c>
    </row>
    <row r="751" spans="1:38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33"/>
        <v>721</v>
      </c>
      <c r="AK751">
        <f t="shared" si="34"/>
        <v>116</v>
      </c>
      <c r="AL751" s="1">
        <f t="shared" si="35"/>
        <v>0.16088765603328711</v>
      </c>
    </row>
    <row r="752" spans="1:38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33"/>
        <v>720</v>
      </c>
      <c r="AK752">
        <f t="shared" si="34"/>
        <v>115</v>
      </c>
      <c r="AL752" s="1">
        <f t="shared" si="35"/>
        <v>0.15972222222222221</v>
      </c>
    </row>
    <row r="753" spans="1:38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33"/>
        <v>719</v>
      </c>
      <c r="AK753">
        <f t="shared" si="34"/>
        <v>115</v>
      </c>
      <c r="AL753" s="1">
        <f t="shared" si="35"/>
        <v>0.15994436717663421</v>
      </c>
    </row>
    <row r="754" spans="1:38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33"/>
        <v>718</v>
      </c>
      <c r="AK754">
        <f t="shared" si="34"/>
        <v>115</v>
      </c>
      <c r="AL754" s="1">
        <f t="shared" si="35"/>
        <v>0.16016713091922005</v>
      </c>
    </row>
    <row r="755" spans="1:38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33"/>
        <v>717</v>
      </c>
      <c r="AK755">
        <f t="shared" si="34"/>
        <v>114</v>
      </c>
      <c r="AL755" s="1">
        <f t="shared" si="35"/>
        <v>0.15899581589958159</v>
      </c>
    </row>
    <row r="756" spans="1:38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33"/>
        <v>716</v>
      </c>
      <c r="AK756">
        <f t="shared" si="34"/>
        <v>114</v>
      </c>
      <c r="AL756" s="1">
        <f t="shared" si="35"/>
        <v>0.15921787709497207</v>
      </c>
    </row>
    <row r="757" spans="1:38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33"/>
        <v>715</v>
      </c>
      <c r="AK757">
        <f t="shared" si="34"/>
        <v>114</v>
      </c>
      <c r="AL757" s="1">
        <f t="shared" si="35"/>
        <v>0.15944055944055943</v>
      </c>
    </row>
    <row r="758" spans="1:38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33"/>
        <v>714</v>
      </c>
      <c r="AK758">
        <f t="shared" si="34"/>
        <v>114</v>
      </c>
      <c r="AL758" s="1">
        <f t="shared" si="35"/>
        <v>0.15966386554621848</v>
      </c>
    </row>
    <row r="759" spans="1:38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33"/>
        <v>713</v>
      </c>
      <c r="AK759">
        <f t="shared" si="34"/>
        <v>114</v>
      </c>
      <c r="AL759" s="1">
        <f t="shared" si="35"/>
        <v>0.15988779803646563</v>
      </c>
    </row>
    <row r="760" spans="1:38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33"/>
        <v>712</v>
      </c>
      <c r="AK760">
        <f t="shared" si="34"/>
        <v>114</v>
      </c>
      <c r="AL760" s="1">
        <f t="shared" si="35"/>
        <v>0.1601123595505618</v>
      </c>
    </row>
    <row r="761" spans="1:38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33"/>
        <v>711</v>
      </c>
      <c r="AK761">
        <f t="shared" si="34"/>
        <v>114</v>
      </c>
      <c r="AL761" s="1">
        <f t="shared" si="35"/>
        <v>0.16033755274261605</v>
      </c>
    </row>
    <row r="762" spans="1:38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33"/>
        <v>710</v>
      </c>
      <c r="AK762">
        <f t="shared" si="34"/>
        <v>114</v>
      </c>
      <c r="AL762" s="1">
        <f t="shared" si="35"/>
        <v>0.16056338028169015</v>
      </c>
    </row>
    <row r="763" spans="1:38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33"/>
        <v>709</v>
      </c>
      <c r="AK763">
        <f t="shared" si="34"/>
        <v>114</v>
      </c>
      <c r="AL763" s="1">
        <f t="shared" si="35"/>
        <v>0.16078984485190409</v>
      </c>
    </row>
    <row r="764" spans="1:38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33"/>
        <v>708</v>
      </c>
      <c r="AK764">
        <f t="shared" si="34"/>
        <v>113</v>
      </c>
      <c r="AL764" s="1">
        <f t="shared" si="35"/>
        <v>0.1596045197740113</v>
      </c>
    </row>
    <row r="765" spans="1:38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33"/>
        <v>707</v>
      </c>
      <c r="AK765">
        <f t="shared" si="34"/>
        <v>112</v>
      </c>
      <c r="AL765" s="1">
        <f t="shared" si="35"/>
        <v>0.15841584158415842</v>
      </c>
    </row>
    <row r="766" spans="1:38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33"/>
        <v>706</v>
      </c>
      <c r="AK766">
        <f t="shared" si="34"/>
        <v>112</v>
      </c>
      <c r="AL766" s="1">
        <f t="shared" si="35"/>
        <v>0.15864022662889518</v>
      </c>
    </row>
    <row r="767" spans="1:38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33"/>
        <v>705</v>
      </c>
      <c r="AK767">
        <f t="shared" si="34"/>
        <v>112</v>
      </c>
      <c r="AL767" s="1">
        <f t="shared" si="35"/>
        <v>0.15886524822695036</v>
      </c>
    </row>
    <row r="768" spans="1:38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33"/>
        <v>704</v>
      </c>
      <c r="AK768">
        <f t="shared" si="34"/>
        <v>112</v>
      </c>
      <c r="AL768" s="1">
        <f t="shared" si="35"/>
        <v>0.15909090909090909</v>
      </c>
    </row>
    <row r="769" spans="1:38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33"/>
        <v>703</v>
      </c>
      <c r="AK769">
        <f t="shared" si="34"/>
        <v>112</v>
      </c>
      <c r="AL769" s="1">
        <f t="shared" si="35"/>
        <v>0.15931721194879089</v>
      </c>
    </row>
    <row r="770" spans="1:38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ref="AJ770:AJ833" si="36">COUNTA(A770:A2239)</f>
        <v>702</v>
      </c>
      <c r="AK770">
        <f t="shared" ref="AK770:AK833" si="37">COUNTIF(B770:B2239, "Yes")</f>
        <v>112</v>
      </c>
      <c r="AL770" s="1">
        <f t="shared" ref="AL770:AL833" si="38">COUNTIF(B770:B2239, "Yes")/COUNTA(A770:A2239)</f>
        <v>0.15954415954415954</v>
      </c>
    </row>
    <row r="771" spans="1:38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si="36"/>
        <v>701</v>
      </c>
      <c r="AK771">
        <f t="shared" si="37"/>
        <v>112</v>
      </c>
      <c r="AL771" s="1">
        <f t="shared" si="38"/>
        <v>0.15977175463623394</v>
      </c>
    </row>
    <row r="772" spans="1:38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36"/>
        <v>700</v>
      </c>
      <c r="AK772">
        <f t="shared" si="37"/>
        <v>112</v>
      </c>
      <c r="AL772" s="1">
        <f t="shared" si="38"/>
        <v>0.16</v>
      </c>
    </row>
    <row r="773" spans="1:38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36"/>
        <v>699</v>
      </c>
      <c r="AK773">
        <f t="shared" si="37"/>
        <v>112</v>
      </c>
      <c r="AL773" s="1">
        <f t="shared" si="38"/>
        <v>0.16022889842632332</v>
      </c>
    </row>
    <row r="774" spans="1:38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36"/>
        <v>698</v>
      </c>
      <c r="AK774">
        <f t="shared" si="37"/>
        <v>112</v>
      </c>
      <c r="AL774" s="1">
        <f t="shared" si="38"/>
        <v>0.16045845272206305</v>
      </c>
    </row>
    <row r="775" spans="1:38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36"/>
        <v>697</v>
      </c>
      <c r="AK775">
        <f t="shared" si="37"/>
        <v>112</v>
      </c>
      <c r="AL775" s="1">
        <f t="shared" si="38"/>
        <v>0.1606886657101865</v>
      </c>
    </row>
    <row r="776" spans="1:38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36"/>
        <v>696</v>
      </c>
      <c r="AK776">
        <f t="shared" si="37"/>
        <v>112</v>
      </c>
      <c r="AL776" s="1">
        <f t="shared" si="38"/>
        <v>0.16091954022988506</v>
      </c>
    </row>
    <row r="777" spans="1:38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36"/>
        <v>695</v>
      </c>
      <c r="AK777">
        <f t="shared" si="37"/>
        <v>112</v>
      </c>
      <c r="AL777" s="1">
        <f t="shared" si="38"/>
        <v>0.16115107913669063</v>
      </c>
    </row>
    <row r="778" spans="1:38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36"/>
        <v>694</v>
      </c>
      <c r="AK778">
        <f t="shared" si="37"/>
        <v>112</v>
      </c>
      <c r="AL778" s="1">
        <f t="shared" si="38"/>
        <v>0.16138328530259366</v>
      </c>
    </row>
    <row r="779" spans="1:38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36"/>
        <v>693</v>
      </c>
      <c r="AK779">
        <f t="shared" si="37"/>
        <v>111</v>
      </c>
      <c r="AL779" s="1">
        <f t="shared" si="38"/>
        <v>0.16017316017316016</v>
      </c>
    </row>
    <row r="780" spans="1:38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36"/>
        <v>692</v>
      </c>
      <c r="AK780">
        <f t="shared" si="37"/>
        <v>110</v>
      </c>
      <c r="AL780" s="1">
        <f t="shared" si="38"/>
        <v>0.15895953757225434</v>
      </c>
    </row>
    <row r="781" spans="1:38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36"/>
        <v>691</v>
      </c>
      <c r="AK781">
        <f t="shared" si="37"/>
        <v>110</v>
      </c>
      <c r="AL781" s="1">
        <f t="shared" si="38"/>
        <v>0.15918958031837915</v>
      </c>
    </row>
    <row r="782" spans="1:38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36"/>
        <v>690</v>
      </c>
      <c r="AK782">
        <f t="shared" si="37"/>
        <v>109</v>
      </c>
      <c r="AL782" s="1">
        <f t="shared" si="38"/>
        <v>0.15797101449275364</v>
      </c>
    </row>
    <row r="783" spans="1:38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36"/>
        <v>689</v>
      </c>
      <c r="AK783">
        <f t="shared" si="37"/>
        <v>108</v>
      </c>
      <c r="AL783" s="1">
        <f t="shared" si="38"/>
        <v>0.15674891146589259</v>
      </c>
    </row>
    <row r="784" spans="1:38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36"/>
        <v>688</v>
      </c>
      <c r="AK784">
        <f t="shared" si="37"/>
        <v>108</v>
      </c>
      <c r="AL784" s="1">
        <f t="shared" si="38"/>
        <v>0.15697674418604651</v>
      </c>
    </row>
    <row r="785" spans="1:38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36"/>
        <v>687</v>
      </c>
      <c r="AK785">
        <f t="shared" si="37"/>
        <v>108</v>
      </c>
      <c r="AL785" s="1">
        <f t="shared" si="38"/>
        <v>0.15720524017467249</v>
      </c>
    </row>
    <row r="786" spans="1:38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36"/>
        <v>686</v>
      </c>
      <c r="AK786">
        <f t="shared" si="37"/>
        <v>108</v>
      </c>
      <c r="AL786" s="1">
        <f t="shared" si="38"/>
        <v>0.15743440233236153</v>
      </c>
    </row>
    <row r="787" spans="1:38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36"/>
        <v>685</v>
      </c>
      <c r="AK787">
        <f t="shared" si="37"/>
        <v>108</v>
      </c>
      <c r="AL787" s="1">
        <f t="shared" si="38"/>
        <v>0.15766423357664233</v>
      </c>
    </row>
    <row r="788" spans="1:38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36"/>
        <v>684</v>
      </c>
      <c r="AK788">
        <f t="shared" si="37"/>
        <v>108</v>
      </c>
      <c r="AL788" s="1">
        <f t="shared" si="38"/>
        <v>0.15789473684210525</v>
      </c>
    </row>
    <row r="789" spans="1:38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36"/>
        <v>683</v>
      </c>
      <c r="AK789">
        <f t="shared" si="37"/>
        <v>108</v>
      </c>
      <c r="AL789" s="1">
        <f t="shared" si="38"/>
        <v>0.15812591508052709</v>
      </c>
    </row>
    <row r="790" spans="1:38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36"/>
        <v>682</v>
      </c>
      <c r="AK790">
        <f t="shared" si="37"/>
        <v>108</v>
      </c>
      <c r="AL790" s="1">
        <f t="shared" si="38"/>
        <v>0.15835777126099707</v>
      </c>
    </row>
    <row r="791" spans="1:38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36"/>
        <v>681</v>
      </c>
      <c r="AK791">
        <f t="shared" si="37"/>
        <v>108</v>
      </c>
      <c r="AL791" s="1">
        <f t="shared" si="38"/>
        <v>0.15859030837004406</v>
      </c>
    </row>
    <row r="792" spans="1:38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36"/>
        <v>680</v>
      </c>
      <c r="AK792">
        <f t="shared" si="37"/>
        <v>107</v>
      </c>
      <c r="AL792" s="1">
        <f t="shared" si="38"/>
        <v>0.15735294117647058</v>
      </c>
    </row>
    <row r="793" spans="1:38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36"/>
        <v>679</v>
      </c>
      <c r="AK793">
        <f t="shared" si="37"/>
        <v>107</v>
      </c>
      <c r="AL793" s="1">
        <f t="shared" si="38"/>
        <v>0.15758468335787923</v>
      </c>
    </row>
    <row r="794" spans="1:38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36"/>
        <v>678</v>
      </c>
      <c r="AK794">
        <f t="shared" si="37"/>
        <v>106</v>
      </c>
      <c r="AL794" s="1">
        <f t="shared" si="38"/>
        <v>0.15634218289085547</v>
      </c>
    </row>
    <row r="795" spans="1:38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36"/>
        <v>677</v>
      </c>
      <c r="AK795">
        <f t="shared" si="37"/>
        <v>105</v>
      </c>
      <c r="AL795" s="1">
        <f t="shared" si="38"/>
        <v>0.15509601181683899</v>
      </c>
    </row>
    <row r="796" spans="1:38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36"/>
        <v>676</v>
      </c>
      <c r="AK796">
        <f t="shared" si="37"/>
        <v>105</v>
      </c>
      <c r="AL796" s="1">
        <f t="shared" si="38"/>
        <v>0.15532544378698224</v>
      </c>
    </row>
    <row r="797" spans="1:38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36"/>
        <v>675</v>
      </c>
      <c r="AK797">
        <f t="shared" si="37"/>
        <v>105</v>
      </c>
      <c r="AL797" s="1">
        <f t="shared" si="38"/>
        <v>0.15555555555555556</v>
      </c>
    </row>
    <row r="798" spans="1:38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36"/>
        <v>674</v>
      </c>
      <c r="AK798">
        <f t="shared" si="37"/>
        <v>105</v>
      </c>
      <c r="AL798" s="1">
        <f t="shared" si="38"/>
        <v>0.15578635014836795</v>
      </c>
    </row>
    <row r="799" spans="1:38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36"/>
        <v>673</v>
      </c>
      <c r="AK799">
        <f t="shared" si="37"/>
        <v>104</v>
      </c>
      <c r="AL799" s="1">
        <f t="shared" si="38"/>
        <v>0.15453194650817237</v>
      </c>
    </row>
    <row r="800" spans="1:38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36"/>
        <v>672</v>
      </c>
      <c r="AK800">
        <f t="shared" si="37"/>
        <v>103</v>
      </c>
      <c r="AL800" s="1">
        <f t="shared" si="38"/>
        <v>0.15327380952380953</v>
      </c>
    </row>
    <row r="801" spans="1:38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36"/>
        <v>671</v>
      </c>
      <c r="AK801">
        <f t="shared" si="37"/>
        <v>102</v>
      </c>
      <c r="AL801" s="1">
        <f t="shared" si="38"/>
        <v>0.15201192250372578</v>
      </c>
    </row>
    <row r="802" spans="1:38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36"/>
        <v>670</v>
      </c>
      <c r="AK802">
        <f t="shared" si="37"/>
        <v>102</v>
      </c>
      <c r="AL802" s="1">
        <f t="shared" si="38"/>
        <v>0.15223880597014924</v>
      </c>
    </row>
    <row r="803" spans="1:38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36"/>
        <v>669</v>
      </c>
      <c r="AK803">
        <f t="shared" si="37"/>
        <v>101</v>
      </c>
      <c r="AL803" s="1">
        <f t="shared" si="38"/>
        <v>0.15097159940209268</v>
      </c>
    </row>
    <row r="804" spans="1:38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36"/>
        <v>668</v>
      </c>
      <c r="AK804">
        <f t="shared" si="37"/>
        <v>100</v>
      </c>
      <c r="AL804" s="1">
        <f t="shared" si="38"/>
        <v>0.1497005988023952</v>
      </c>
    </row>
    <row r="805" spans="1:38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36"/>
        <v>667</v>
      </c>
      <c r="AK805">
        <f t="shared" si="37"/>
        <v>100</v>
      </c>
      <c r="AL805" s="1">
        <f t="shared" si="38"/>
        <v>0.14992503748125938</v>
      </c>
    </row>
    <row r="806" spans="1:38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36"/>
        <v>666</v>
      </c>
      <c r="AK806">
        <f t="shared" si="37"/>
        <v>100</v>
      </c>
      <c r="AL806" s="1">
        <f t="shared" si="38"/>
        <v>0.15015015015015015</v>
      </c>
    </row>
    <row r="807" spans="1:38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36"/>
        <v>665</v>
      </c>
      <c r="AK807">
        <f t="shared" si="37"/>
        <v>100</v>
      </c>
      <c r="AL807" s="1">
        <f t="shared" si="38"/>
        <v>0.15037593984962405</v>
      </c>
    </row>
    <row r="808" spans="1:38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36"/>
        <v>664</v>
      </c>
      <c r="AK808">
        <f t="shared" si="37"/>
        <v>100</v>
      </c>
      <c r="AL808" s="1">
        <f t="shared" si="38"/>
        <v>0.15060240963855423</v>
      </c>
    </row>
    <row r="809" spans="1:38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36"/>
        <v>663</v>
      </c>
      <c r="AK809">
        <f t="shared" si="37"/>
        <v>100</v>
      </c>
      <c r="AL809" s="1">
        <f t="shared" si="38"/>
        <v>0.15082956259426847</v>
      </c>
    </row>
    <row r="810" spans="1:38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36"/>
        <v>662</v>
      </c>
      <c r="AK810">
        <f t="shared" si="37"/>
        <v>100</v>
      </c>
      <c r="AL810" s="1">
        <f t="shared" si="38"/>
        <v>0.15105740181268881</v>
      </c>
    </row>
    <row r="811" spans="1:38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36"/>
        <v>661</v>
      </c>
      <c r="AK811">
        <f t="shared" si="37"/>
        <v>100</v>
      </c>
      <c r="AL811" s="1">
        <f t="shared" si="38"/>
        <v>0.15128593040847202</v>
      </c>
    </row>
    <row r="812" spans="1:38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36"/>
        <v>660</v>
      </c>
      <c r="AK812">
        <f t="shared" si="37"/>
        <v>100</v>
      </c>
      <c r="AL812" s="1">
        <f t="shared" si="38"/>
        <v>0.15151515151515152</v>
      </c>
    </row>
    <row r="813" spans="1:38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36"/>
        <v>659</v>
      </c>
      <c r="AK813">
        <f t="shared" si="37"/>
        <v>100</v>
      </c>
      <c r="AL813" s="1">
        <f t="shared" si="38"/>
        <v>0.15174506828528073</v>
      </c>
    </row>
    <row r="814" spans="1:38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36"/>
        <v>658</v>
      </c>
      <c r="AK814">
        <f t="shared" si="37"/>
        <v>100</v>
      </c>
      <c r="AL814" s="1">
        <f t="shared" si="38"/>
        <v>0.1519756838905775</v>
      </c>
    </row>
    <row r="815" spans="1:38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36"/>
        <v>657</v>
      </c>
      <c r="AK815">
        <f t="shared" si="37"/>
        <v>100</v>
      </c>
      <c r="AL815" s="1">
        <f t="shared" si="38"/>
        <v>0.15220700152207001</v>
      </c>
    </row>
    <row r="816" spans="1:38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36"/>
        <v>656</v>
      </c>
      <c r="AK816">
        <f t="shared" si="37"/>
        <v>99</v>
      </c>
      <c r="AL816" s="1">
        <f t="shared" si="38"/>
        <v>0.15091463414634146</v>
      </c>
    </row>
    <row r="817" spans="1:38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36"/>
        <v>655</v>
      </c>
      <c r="AK817">
        <f t="shared" si="37"/>
        <v>99</v>
      </c>
      <c r="AL817" s="1">
        <f t="shared" si="38"/>
        <v>0.15114503816793892</v>
      </c>
    </row>
    <row r="818" spans="1:38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36"/>
        <v>654</v>
      </c>
      <c r="AK818">
        <f t="shared" si="37"/>
        <v>99</v>
      </c>
      <c r="AL818" s="1">
        <f t="shared" si="38"/>
        <v>0.15137614678899083</v>
      </c>
    </row>
    <row r="819" spans="1:38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36"/>
        <v>653</v>
      </c>
      <c r="AK819">
        <f t="shared" si="37"/>
        <v>99</v>
      </c>
      <c r="AL819" s="1">
        <f t="shared" si="38"/>
        <v>0.15160796324655437</v>
      </c>
    </row>
    <row r="820" spans="1:38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36"/>
        <v>652</v>
      </c>
      <c r="AK820">
        <f t="shared" si="37"/>
        <v>99</v>
      </c>
      <c r="AL820" s="1">
        <f t="shared" si="38"/>
        <v>0.15184049079754602</v>
      </c>
    </row>
    <row r="821" spans="1:38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36"/>
        <v>651</v>
      </c>
      <c r="AK821">
        <f t="shared" si="37"/>
        <v>99</v>
      </c>
      <c r="AL821" s="1">
        <f t="shared" si="38"/>
        <v>0.15207373271889402</v>
      </c>
    </row>
    <row r="822" spans="1:38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36"/>
        <v>650</v>
      </c>
      <c r="AK822">
        <f t="shared" si="37"/>
        <v>99</v>
      </c>
      <c r="AL822" s="1">
        <f t="shared" si="38"/>
        <v>0.15230769230769231</v>
      </c>
    </row>
    <row r="823" spans="1:38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36"/>
        <v>649</v>
      </c>
      <c r="AK823">
        <f t="shared" si="37"/>
        <v>99</v>
      </c>
      <c r="AL823" s="1">
        <f t="shared" si="38"/>
        <v>0.15254237288135594</v>
      </c>
    </row>
    <row r="824" spans="1:38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36"/>
        <v>648</v>
      </c>
      <c r="AK824">
        <f t="shared" si="37"/>
        <v>99</v>
      </c>
      <c r="AL824" s="1">
        <f t="shared" si="38"/>
        <v>0.15277777777777779</v>
      </c>
    </row>
    <row r="825" spans="1:38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36"/>
        <v>647</v>
      </c>
      <c r="AK825">
        <f t="shared" si="37"/>
        <v>99</v>
      </c>
      <c r="AL825" s="1">
        <f t="shared" si="38"/>
        <v>0.15301391035548687</v>
      </c>
    </row>
    <row r="826" spans="1:38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36"/>
        <v>646</v>
      </c>
      <c r="AK826">
        <f t="shared" si="37"/>
        <v>99</v>
      </c>
      <c r="AL826" s="1">
        <f t="shared" si="38"/>
        <v>0.15325077399380804</v>
      </c>
    </row>
    <row r="827" spans="1:38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36"/>
        <v>645</v>
      </c>
      <c r="AK827">
        <f t="shared" si="37"/>
        <v>99</v>
      </c>
      <c r="AL827" s="1">
        <f t="shared" si="38"/>
        <v>0.15348837209302327</v>
      </c>
    </row>
    <row r="828" spans="1:38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36"/>
        <v>644</v>
      </c>
      <c r="AK828">
        <f t="shared" si="37"/>
        <v>99</v>
      </c>
      <c r="AL828" s="1">
        <f t="shared" si="38"/>
        <v>0.15372670807453417</v>
      </c>
    </row>
    <row r="829" spans="1:38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36"/>
        <v>643</v>
      </c>
      <c r="AK829">
        <f t="shared" si="37"/>
        <v>99</v>
      </c>
      <c r="AL829" s="1">
        <f t="shared" si="38"/>
        <v>0.15396578538102643</v>
      </c>
    </row>
    <row r="830" spans="1:38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36"/>
        <v>642</v>
      </c>
      <c r="AK830">
        <f t="shared" si="37"/>
        <v>99</v>
      </c>
      <c r="AL830" s="1">
        <f t="shared" si="38"/>
        <v>0.1542056074766355</v>
      </c>
    </row>
    <row r="831" spans="1:38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36"/>
        <v>641</v>
      </c>
      <c r="AK831">
        <f t="shared" si="37"/>
        <v>98</v>
      </c>
      <c r="AL831" s="1">
        <f t="shared" si="38"/>
        <v>0.15288611544461778</v>
      </c>
    </row>
    <row r="832" spans="1:38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36"/>
        <v>640</v>
      </c>
      <c r="AK832">
        <f t="shared" si="37"/>
        <v>97</v>
      </c>
      <c r="AL832" s="1">
        <f t="shared" si="38"/>
        <v>0.15156249999999999</v>
      </c>
    </row>
    <row r="833" spans="1:38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36"/>
        <v>639</v>
      </c>
      <c r="AK833">
        <f t="shared" si="37"/>
        <v>97</v>
      </c>
      <c r="AL833" s="1">
        <f t="shared" si="38"/>
        <v>0.15179968701095461</v>
      </c>
    </row>
    <row r="834" spans="1:38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ref="AJ834:AJ897" si="39">COUNTA(A834:A2303)</f>
        <v>638</v>
      </c>
      <c r="AK834">
        <f t="shared" ref="AK834:AK897" si="40">COUNTIF(B834:B2303, "Yes")</f>
        <v>96</v>
      </c>
      <c r="AL834" s="1">
        <f t="shared" ref="AL834:AL897" si="41">COUNTIF(B834:B2303, "Yes")/COUNTA(A834:A2303)</f>
        <v>0.15047021943573669</v>
      </c>
    </row>
    <row r="835" spans="1:38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si="39"/>
        <v>637</v>
      </c>
      <c r="AK835">
        <f t="shared" si="40"/>
        <v>96</v>
      </c>
      <c r="AL835" s="1">
        <f t="shared" si="41"/>
        <v>0.15070643642072212</v>
      </c>
    </row>
    <row r="836" spans="1:38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39"/>
        <v>636</v>
      </c>
      <c r="AK836">
        <f t="shared" si="40"/>
        <v>96</v>
      </c>
      <c r="AL836" s="1">
        <f t="shared" si="41"/>
        <v>0.15094339622641509</v>
      </c>
    </row>
    <row r="837" spans="1:38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39"/>
        <v>635</v>
      </c>
      <c r="AK837">
        <f t="shared" si="40"/>
        <v>96</v>
      </c>
      <c r="AL837" s="1">
        <f t="shared" si="41"/>
        <v>0.15118110236220472</v>
      </c>
    </row>
    <row r="838" spans="1:38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39"/>
        <v>634</v>
      </c>
      <c r="AK838">
        <f t="shared" si="40"/>
        <v>96</v>
      </c>
      <c r="AL838" s="1">
        <f t="shared" si="41"/>
        <v>0.15141955835962145</v>
      </c>
    </row>
    <row r="839" spans="1:38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39"/>
        <v>633</v>
      </c>
      <c r="AK839">
        <f t="shared" si="40"/>
        <v>95</v>
      </c>
      <c r="AL839" s="1">
        <f t="shared" si="41"/>
        <v>0.1500789889415482</v>
      </c>
    </row>
    <row r="840" spans="1:38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39"/>
        <v>632</v>
      </c>
      <c r="AK840">
        <f t="shared" si="40"/>
        <v>95</v>
      </c>
      <c r="AL840" s="1">
        <f t="shared" si="41"/>
        <v>0.15031645569620253</v>
      </c>
    </row>
    <row r="841" spans="1:38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39"/>
        <v>631</v>
      </c>
      <c r="AK841">
        <f t="shared" si="40"/>
        <v>94</v>
      </c>
      <c r="AL841" s="1">
        <f t="shared" si="41"/>
        <v>0.14896988906497624</v>
      </c>
    </row>
    <row r="842" spans="1:38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39"/>
        <v>630</v>
      </c>
      <c r="AK842">
        <f t="shared" si="40"/>
        <v>94</v>
      </c>
      <c r="AL842" s="1">
        <f t="shared" si="41"/>
        <v>0.1492063492063492</v>
      </c>
    </row>
    <row r="843" spans="1:38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39"/>
        <v>629</v>
      </c>
      <c r="AK843">
        <f t="shared" si="40"/>
        <v>94</v>
      </c>
      <c r="AL843" s="1">
        <f t="shared" si="41"/>
        <v>0.1494435612082671</v>
      </c>
    </row>
    <row r="844" spans="1:38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39"/>
        <v>628</v>
      </c>
      <c r="AK844">
        <f t="shared" si="40"/>
        <v>94</v>
      </c>
      <c r="AL844" s="1">
        <f t="shared" si="41"/>
        <v>0.14968152866242038</v>
      </c>
    </row>
    <row r="845" spans="1:38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39"/>
        <v>627</v>
      </c>
      <c r="AK845">
        <f t="shared" si="40"/>
        <v>93</v>
      </c>
      <c r="AL845" s="1">
        <f t="shared" si="41"/>
        <v>0.14832535885167464</v>
      </c>
    </row>
    <row r="846" spans="1:38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39"/>
        <v>626</v>
      </c>
      <c r="AK846">
        <f t="shared" si="40"/>
        <v>93</v>
      </c>
      <c r="AL846" s="1">
        <f t="shared" si="41"/>
        <v>0.1485623003194888</v>
      </c>
    </row>
    <row r="847" spans="1:38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39"/>
        <v>625</v>
      </c>
      <c r="AK847">
        <f t="shared" si="40"/>
        <v>93</v>
      </c>
      <c r="AL847" s="1">
        <f t="shared" si="41"/>
        <v>0.14879999999999999</v>
      </c>
    </row>
    <row r="848" spans="1:38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39"/>
        <v>624</v>
      </c>
      <c r="AK848">
        <f t="shared" si="40"/>
        <v>93</v>
      </c>
      <c r="AL848" s="1">
        <f t="shared" si="41"/>
        <v>0.14903846153846154</v>
      </c>
    </row>
    <row r="849" spans="1:38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39"/>
        <v>623</v>
      </c>
      <c r="AK849">
        <f t="shared" si="40"/>
        <v>93</v>
      </c>
      <c r="AL849" s="1">
        <f t="shared" si="41"/>
        <v>0.1492776886035313</v>
      </c>
    </row>
    <row r="850" spans="1:38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39"/>
        <v>622</v>
      </c>
      <c r="AK850">
        <f t="shared" si="40"/>
        <v>93</v>
      </c>
      <c r="AL850" s="1">
        <f t="shared" si="41"/>
        <v>0.14951768488745981</v>
      </c>
    </row>
    <row r="851" spans="1:38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39"/>
        <v>621</v>
      </c>
      <c r="AK851">
        <f t="shared" si="40"/>
        <v>93</v>
      </c>
      <c r="AL851" s="1">
        <f t="shared" si="41"/>
        <v>0.14975845410628019</v>
      </c>
    </row>
    <row r="852" spans="1:38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39"/>
        <v>620</v>
      </c>
      <c r="AK852">
        <f t="shared" si="40"/>
        <v>92</v>
      </c>
      <c r="AL852" s="1">
        <f t="shared" si="41"/>
        <v>0.14838709677419354</v>
      </c>
    </row>
    <row r="853" spans="1:38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39"/>
        <v>619</v>
      </c>
      <c r="AK853">
        <f t="shared" si="40"/>
        <v>92</v>
      </c>
      <c r="AL853" s="1">
        <f t="shared" si="41"/>
        <v>0.14862681744749595</v>
      </c>
    </row>
    <row r="854" spans="1:38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39"/>
        <v>618</v>
      </c>
      <c r="AK854">
        <f t="shared" si="40"/>
        <v>92</v>
      </c>
      <c r="AL854" s="1">
        <f t="shared" si="41"/>
        <v>0.14886731391585761</v>
      </c>
    </row>
    <row r="855" spans="1:38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39"/>
        <v>617</v>
      </c>
      <c r="AK855">
        <f t="shared" si="40"/>
        <v>92</v>
      </c>
      <c r="AL855" s="1">
        <f t="shared" si="41"/>
        <v>0.14910858995137763</v>
      </c>
    </row>
    <row r="856" spans="1:38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39"/>
        <v>616</v>
      </c>
      <c r="AK856">
        <f t="shared" si="40"/>
        <v>92</v>
      </c>
      <c r="AL856" s="1">
        <f t="shared" si="41"/>
        <v>0.14935064935064934</v>
      </c>
    </row>
    <row r="857" spans="1:38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39"/>
        <v>615</v>
      </c>
      <c r="AK857">
        <f t="shared" si="40"/>
        <v>92</v>
      </c>
      <c r="AL857" s="1">
        <f t="shared" si="41"/>
        <v>0.14959349593495935</v>
      </c>
    </row>
    <row r="858" spans="1:38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39"/>
        <v>614</v>
      </c>
      <c r="AK858">
        <f t="shared" si="40"/>
        <v>92</v>
      </c>
      <c r="AL858" s="1">
        <f t="shared" si="41"/>
        <v>0.14983713355048861</v>
      </c>
    </row>
    <row r="859" spans="1:38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39"/>
        <v>613</v>
      </c>
      <c r="AK859">
        <f t="shared" si="40"/>
        <v>92</v>
      </c>
      <c r="AL859" s="1">
        <f t="shared" si="41"/>
        <v>0.1500815660685155</v>
      </c>
    </row>
    <row r="860" spans="1:38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39"/>
        <v>612</v>
      </c>
      <c r="AK860">
        <f t="shared" si="40"/>
        <v>91</v>
      </c>
      <c r="AL860" s="1">
        <f t="shared" si="41"/>
        <v>0.14869281045751634</v>
      </c>
    </row>
    <row r="861" spans="1:38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39"/>
        <v>611</v>
      </c>
      <c r="AK861">
        <f t="shared" si="40"/>
        <v>91</v>
      </c>
      <c r="AL861" s="1">
        <f t="shared" si="41"/>
        <v>0.14893617021276595</v>
      </c>
    </row>
    <row r="862" spans="1:38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39"/>
        <v>610</v>
      </c>
      <c r="AK862">
        <f t="shared" si="40"/>
        <v>91</v>
      </c>
      <c r="AL862" s="1">
        <f t="shared" si="41"/>
        <v>0.14918032786885246</v>
      </c>
    </row>
    <row r="863" spans="1:38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39"/>
        <v>609</v>
      </c>
      <c r="AK863">
        <f t="shared" si="40"/>
        <v>90</v>
      </c>
      <c r="AL863" s="1">
        <f t="shared" si="41"/>
        <v>0.14778325123152711</v>
      </c>
    </row>
    <row r="864" spans="1:38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39"/>
        <v>608</v>
      </c>
      <c r="AK864">
        <f t="shared" si="40"/>
        <v>90</v>
      </c>
      <c r="AL864" s="1">
        <f t="shared" si="41"/>
        <v>0.14802631578947367</v>
      </c>
    </row>
    <row r="865" spans="1:38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39"/>
        <v>607</v>
      </c>
      <c r="AK865">
        <f t="shared" si="40"/>
        <v>90</v>
      </c>
      <c r="AL865" s="1">
        <f t="shared" si="41"/>
        <v>0.14827018121911037</v>
      </c>
    </row>
    <row r="866" spans="1:38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39"/>
        <v>606</v>
      </c>
      <c r="AK866">
        <f t="shared" si="40"/>
        <v>90</v>
      </c>
      <c r="AL866" s="1">
        <f t="shared" si="41"/>
        <v>0.14851485148514851</v>
      </c>
    </row>
    <row r="867" spans="1:38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39"/>
        <v>605</v>
      </c>
      <c r="AK867">
        <f t="shared" si="40"/>
        <v>89</v>
      </c>
      <c r="AL867" s="1">
        <f t="shared" si="41"/>
        <v>0.14710743801652892</v>
      </c>
    </row>
    <row r="868" spans="1:38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39"/>
        <v>604</v>
      </c>
      <c r="AK868">
        <f t="shared" si="40"/>
        <v>89</v>
      </c>
      <c r="AL868" s="1">
        <f t="shared" si="41"/>
        <v>0.14735099337748345</v>
      </c>
    </row>
    <row r="869" spans="1:38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39"/>
        <v>603</v>
      </c>
      <c r="AK869">
        <f t="shared" si="40"/>
        <v>89</v>
      </c>
      <c r="AL869" s="1">
        <f t="shared" si="41"/>
        <v>0.14759535655058043</v>
      </c>
    </row>
    <row r="870" spans="1:38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39"/>
        <v>602</v>
      </c>
      <c r="AK870">
        <f t="shared" si="40"/>
        <v>89</v>
      </c>
      <c r="AL870" s="1">
        <f t="shared" si="41"/>
        <v>0.14784053156146179</v>
      </c>
    </row>
    <row r="871" spans="1:38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39"/>
        <v>601</v>
      </c>
      <c r="AK871">
        <f t="shared" si="40"/>
        <v>89</v>
      </c>
      <c r="AL871" s="1">
        <f t="shared" si="41"/>
        <v>0.1480865224625624</v>
      </c>
    </row>
    <row r="872" spans="1:38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39"/>
        <v>600</v>
      </c>
      <c r="AK872">
        <f t="shared" si="40"/>
        <v>89</v>
      </c>
      <c r="AL872" s="1">
        <f t="shared" si="41"/>
        <v>0.14833333333333334</v>
      </c>
    </row>
    <row r="873" spans="1:38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39"/>
        <v>599</v>
      </c>
      <c r="AK873">
        <f t="shared" si="40"/>
        <v>89</v>
      </c>
      <c r="AL873" s="1">
        <f t="shared" si="41"/>
        <v>0.14858096828046743</v>
      </c>
    </row>
    <row r="874" spans="1:38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39"/>
        <v>598</v>
      </c>
      <c r="AK874">
        <f t="shared" si="40"/>
        <v>88</v>
      </c>
      <c r="AL874" s="1">
        <f t="shared" si="41"/>
        <v>0.14715719063545152</v>
      </c>
    </row>
    <row r="875" spans="1:38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39"/>
        <v>597</v>
      </c>
      <c r="AK875">
        <f t="shared" si="40"/>
        <v>88</v>
      </c>
      <c r="AL875" s="1">
        <f t="shared" si="41"/>
        <v>0.14740368509212731</v>
      </c>
    </row>
    <row r="876" spans="1:38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39"/>
        <v>596</v>
      </c>
      <c r="AK876">
        <f t="shared" si="40"/>
        <v>88</v>
      </c>
      <c r="AL876" s="1">
        <f t="shared" si="41"/>
        <v>0.1476510067114094</v>
      </c>
    </row>
    <row r="877" spans="1:38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39"/>
        <v>595</v>
      </c>
      <c r="AK877">
        <f t="shared" si="40"/>
        <v>88</v>
      </c>
      <c r="AL877" s="1">
        <f t="shared" si="41"/>
        <v>0.14789915966386555</v>
      </c>
    </row>
    <row r="878" spans="1:38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39"/>
        <v>594</v>
      </c>
      <c r="AK878">
        <f t="shared" si="40"/>
        <v>88</v>
      </c>
      <c r="AL878" s="1">
        <f t="shared" si="41"/>
        <v>0.14814814814814814</v>
      </c>
    </row>
    <row r="879" spans="1:38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39"/>
        <v>593</v>
      </c>
      <c r="AK879">
        <f t="shared" si="40"/>
        <v>88</v>
      </c>
      <c r="AL879" s="1">
        <f t="shared" si="41"/>
        <v>0.14839797639123103</v>
      </c>
    </row>
    <row r="880" spans="1:38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39"/>
        <v>592</v>
      </c>
      <c r="AK880">
        <f t="shared" si="40"/>
        <v>88</v>
      </c>
      <c r="AL880" s="1">
        <f t="shared" si="41"/>
        <v>0.14864864864864866</v>
      </c>
    </row>
    <row r="881" spans="1:38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39"/>
        <v>591</v>
      </c>
      <c r="AK881">
        <f t="shared" si="40"/>
        <v>88</v>
      </c>
      <c r="AL881" s="1">
        <f t="shared" si="41"/>
        <v>0.14890016920473773</v>
      </c>
    </row>
    <row r="882" spans="1:38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39"/>
        <v>590</v>
      </c>
      <c r="AK882">
        <f t="shared" si="40"/>
        <v>88</v>
      </c>
      <c r="AL882" s="1">
        <f t="shared" si="41"/>
        <v>0.14915254237288136</v>
      </c>
    </row>
    <row r="883" spans="1:38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39"/>
        <v>589</v>
      </c>
      <c r="AK883">
        <f t="shared" si="40"/>
        <v>88</v>
      </c>
      <c r="AL883" s="1">
        <f t="shared" si="41"/>
        <v>0.14940577249575551</v>
      </c>
    </row>
    <row r="884" spans="1:38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39"/>
        <v>588</v>
      </c>
      <c r="AK884">
        <f t="shared" si="40"/>
        <v>88</v>
      </c>
      <c r="AL884" s="1">
        <f t="shared" si="41"/>
        <v>0.14965986394557823</v>
      </c>
    </row>
    <row r="885" spans="1:38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39"/>
        <v>587</v>
      </c>
      <c r="AK885">
        <f t="shared" si="40"/>
        <v>88</v>
      </c>
      <c r="AL885" s="1">
        <f t="shared" si="41"/>
        <v>0.14991482112436116</v>
      </c>
    </row>
    <row r="886" spans="1:38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39"/>
        <v>586</v>
      </c>
      <c r="AK886">
        <f t="shared" si="40"/>
        <v>88</v>
      </c>
      <c r="AL886" s="1">
        <f t="shared" si="41"/>
        <v>0.15017064846416384</v>
      </c>
    </row>
    <row r="887" spans="1:38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39"/>
        <v>585</v>
      </c>
      <c r="AK887">
        <f t="shared" si="40"/>
        <v>88</v>
      </c>
      <c r="AL887" s="1">
        <f t="shared" si="41"/>
        <v>0.15042735042735042</v>
      </c>
    </row>
    <row r="888" spans="1:38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39"/>
        <v>584</v>
      </c>
      <c r="AK888">
        <f t="shared" si="40"/>
        <v>88</v>
      </c>
      <c r="AL888" s="1">
        <f t="shared" si="41"/>
        <v>0.15068493150684931</v>
      </c>
    </row>
    <row r="889" spans="1:38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39"/>
        <v>583</v>
      </c>
      <c r="AK889">
        <f t="shared" si="40"/>
        <v>88</v>
      </c>
      <c r="AL889" s="1">
        <f t="shared" si="41"/>
        <v>0.15094339622641509</v>
      </c>
    </row>
    <row r="890" spans="1:38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39"/>
        <v>582</v>
      </c>
      <c r="AK890">
        <f t="shared" si="40"/>
        <v>88</v>
      </c>
      <c r="AL890" s="1">
        <f t="shared" si="41"/>
        <v>0.15120274914089346</v>
      </c>
    </row>
    <row r="891" spans="1:38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39"/>
        <v>581</v>
      </c>
      <c r="AK891">
        <f t="shared" si="40"/>
        <v>88</v>
      </c>
      <c r="AL891" s="1">
        <f t="shared" si="41"/>
        <v>0.15146299483648881</v>
      </c>
    </row>
    <row r="892" spans="1:38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39"/>
        <v>580</v>
      </c>
      <c r="AK892">
        <f t="shared" si="40"/>
        <v>88</v>
      </c>
      <c r="AL892" s="1">
        <f t="shared" si="41"/>
        <v>0.15172413793103448</v>
      </c>
    </row>
    <row r="893" spans="1:38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39"/>
        <v>579</v>
      </c>
      <c r="AK893">
        <f t="shared" si="40"/>
        <v>88</v>
      </c>
      <c r="AL893" s="1">
        <f t="shared" si="41"/>
        <v>0.15198618307426598</v>
      </c>
    </row>
    <row r="894" spans="1:38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39"/>
        <v>578</v>
      </c>
      <c r="AK894">
        <f t="shared" si="40"/>
        <v>88</v>
      </c>
      <c r="AL894" s="1">
        <f t="shared" si="41"/>
        <v>0.15224913494809689</v>
      </c>
    </row>
    <row r="895" spans="1:38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39"/>
        <v>577</v>
      </c>
      <c r="AK895">
        <f t="shared" si="40"/>
        <v>87</v>
      </c>
      <c r="AL895" s="1">
        <f t="shared" si="41"/>
        <v>0.15077989601386482</v>
      </c>
    </row>
    <row r="896" spans="1:38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39"/>
        <v>576</v>
      </c>
      <c r="AK896">
        <f t="shared" si="40"/>
        <v>87</v>
      </c>
      <c r="AL896" s="1">
        <f t="shared" si="41"/>
        <v>0.15104166666666666</v>
      </c>
    </row>
    <row r="897" spans="1:38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39"/>
        <v>575</v>
      </c>
      <c r="AK897">
        <f t="shared" si="40"/>
        <v>87</v>
      </c>
      <c r="AL897" s="1">
        <f t="shared" si="41"/>
        <v>0.15130434782608695</v>
      </c>
    </row>
    <row r="898" spans="1:38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ref="AJ898:AJ961" si="42">COUNTA(A898:A2367)</f>
        <v>574</v>
      </c>
      <c r="AK898">
        <f t="shared" ref="AK898:AK961" si="43">COUNTIF(B898:B2367, "Yes")</f>
        <v>87</v>
      </c>
      <c r="AL898" s="1">
        <f t="shared" ref="AL898:AL961" si="44">COUNTIF(B898:B2367, "Yes")/COUNTA(A898:A2367)</f>
        <v>0.15156794425087108</v>
      </c>
    </row>
    <row r="899" spans="1:38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si="42"/>
        <v>573</v>
      </c>
      <c r="AK899">
        <f t="shared" si="43"/>
        <v>87</v>
      </c>
      <c r="AL899" s="1">
        <f t="shared" si="44"/>
        <v>0.15183246073298429</v>
      </c>
    </row>
    <row r="900" spans="1:38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42"/>
        <v>572</v>
      </c>
      <c r="AK900">
        <f t="shared" si="43"/>
        <v>87</v>
      </c>
      <c r="AL900" s="1">
        <f t="shared" si="44"/>
        <v>0.15209790209790211</v>
      </c>
    </row>
    <row r="901" spans="1:38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42"/>
        <v>571</v>
      </c>
      <c r="AK901">
        <f t="shared" si="43"/>
        <v>87</v>
      </c>
      <c r="AL901" s="1">
        <f t="shared" si="44"/>
        <v>0.15236427320490367</v>
      </c>
    </row>
    <row r="902" spans="1:38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42"/>
        <v>570</v>
      </c>
      <c r="AK902">
        <f t="shared" si="43"/>
        <v>87</v>
      </c>
      <c r="AL902" s="1">
        <f t="shared" si="44"/>
        <v>0.15263157894736842</v>
      </c>
    </row>
    <row r="903" spans="1:38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42"/>
        <v>569</v>
      </c>
      <c r="AK903">
        <f t="shared" si="43"/>
        <v>87</v>
      </c>
      <c r="AL903" s="1">
        <f t="shared" si="44"/>
        <v>0.15289982425307558</v>
      </c>
    </row>
    <row r="904" spans="1:38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42"/>
        <v>568</v>
      </c>
      <c r="AK904">
        <f t="shared" si="43"/>
        <v>87</v>
      </c>
      <c r="AL904" s="1">
        <f t="shared" si="44"/>
        <v>0.15316901408450703</v>
      </c>
    </row>
    <row r="905" spans="1:38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42"/>
        <v>567</v>
      </c>
      <c r="AK905">
        <f t="shared" si="43"/>
        <v>87</v>
      </c>
      <c r="AL905" s="1">
        <f t="shared" si="44"/>
        <v>0.15343915343915343</v>
      </c>
    </row>
    <row r="906" spans="1:38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42"/>
        <v>566</v>
      </c>
      <c r="AK906">
        <f t="shared" si="43"/>
        <v>87</v>
      </c>
      <c r="AL906" s="1">
        <f t="shared" si="44"/>
        <v>0.15371024734982333</v>
      </c>
    </row>
    <row r="907" spans="1:38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42"/>
        <v>565</v>
      </c>
      <c r="AK907">
        <f t="shared" si="43"/>
        <v>87</v>
      </c>
      <c r="AL907" s="1">
        <f t="shared" si="44"/>
        <v>0.15398230088495576</v>
      </c>
    </row>
    <row r="908" spans="1:38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42"/>
        <v>564</v>
      </c>
      <c r="AK908">
        <f t="shared" si="43"/>
        <v>87</v>
      </c>
      <c r="AL908" s="1">
        <f t="shared" si="44"/>
        <v>0.15425531914893617</v>
      </c>
    </row>
    <row r="909" spans="1:38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42"/>
        <v>563</v>
      </c>
      <c r="AK909">
        <f t="shared" si="43"/>
        <v>87</v>
      </c>
      <c r="AL909" s="1">
        <f t="shared" si="44"/>
        <v>0.15452930728241562</v>
      </c>
    </row>
    <row r="910" spans="1:38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42"/>
        <v>562</v>
      </c>
      <c r="AK910">
        <f t="shared" si="43"/>
        <v>87</v>
      </c>
      <c r="AL910" s="1">
        <f t="shared" si="44"/>
        <v>0.15480427046263345</v>
      </c>
    </row>
    <row r="911" spans="1:38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42"/>
        <v>561</v>
      </c>
      <c r="AK911">
        <f t="shared" si="43"/>
        <v>87</v>
      </c>
      <c r="AL911" s="1">
        <f t="shared" si="44"/>
        <v>0.15508021390374332</v>
      </c>
    </row>
    <row r="912" spans="1:38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42"/>
        <v>560</v>
      </c>
      <c r="AK912">
        <f t="shared" si="43"/>
        <v>87</v>
      </c>
      <c r="AL912" s="1">
        <f t="shared" si="44"/>
        <v>0.15535714285714286</v>
      </c>
    </row>
    <row r="913" spans="1:38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42"/>
        <v>559</v>
      </c>
      <c r="AK913">
        <f t="shared" si="43"/>
        <v>87</v>
      </c>
      <c r="AL913" s="1">
        <f t="shared" si="44"/>
        <v>0.15563506261180679</v>
      </c>
    </row>
    <row r="914" spans="1:38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42"/>
        <v>558</v>
      </c>
      <c r="AK914">
        <f t="shared" si="43"/>
        <v>86</v>
      </c>
      <c r="AL914" s="1">
        <f t="shared" si="44"/>
        <v>0.15412186379928317</v>
      </c>
    </row>
    <row r="915" spans="1:38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42"/>
        <v>557</v>
      </c>
      <c r="AK915">
        <f t="shared" si="43"/>
        <v>86</v>
      </c>
      <c r="AL915" s="1">
        <f t="shared" si="44"/>
        <v>0.15439856373429084</v>
      </c>
    </row>
    <row r="916" spans="1:38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42"/>
        <v>556</v>
      </c>
      <c r="AK916">
        <f t="shared" si="43"/>
        <v>85</v>
      </c>
      <c r="AL916" s="1">
        <f t="shared" si="44"/>
        <v>0.15287769784172661</v>
      </c>
    </row>
    <row r="917" spans="1:38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42"/>
        <v>555</v>
      </c>
      <c r="AK917">
        <f t="shared" si="43"/>
        <v>85</v>
      </c>
      <c r="AL917" s="1">
        <f t="shared" si="44"/>
        <v>0.15315315315315314</v>
      </c>
    </row>
    <row r="918" spans="1:38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42"/>
        <v>554</v>
      </c>
      <c r="AK918">
        <f t="shared" si="43"/>
        <v>84</v>
      </c>
      <c r="AL918" s="1">
        <f t="shared" si="44"/>
        <v>0.15162454873646208</v>
      </c>
    </row>
    <row r="919" spans="1:38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42"/>
        <v>553</v>
      </c>
      <c r="AK919">
        <f t="shared" si="43"/>
        <v>84</v>
      </c>
      <c r="AL919" s="1">
        <f t="shared" si="44"/>
        <v>0.15189873417721519</v>
      </c>
    </row>
    <row r="920" spans="1:38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42"/>
        <v>552</v>
      </c>
      <c r="AK920">
        <f t="shared" si="43"/>
        <v>84</v>
      </c>
      <c r="AL920" s="1">
        <f t="shared" si="44"/>
        <v>0.15217391304347827</v>
      </c>
    </row>
    <row r="921" spans="1:38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42"/>
        <v>551</v>
      </c>
      <c r="AK921">
        <f t="shared" si="43"/>
        <v>84</v>
      </c>
      <c r="AL921" s="1">
        <f t="shared" si="44"/>
        <v>0.15245009074410162</v>
      </c>
    </row>
    <row r="922" spans="1:38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42"/>
        <v>550</v>
      </c>
      <c r="AK922">
        <f t="shared" si="43"/>
        <v>84</v>
      </c>
      <c r="AL922" s="1">
        <f t="shared" si="44"/>
        <v>0.15272727272727274</v>
      </c>
    </row>
    <row r="923" spans="1:38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42"/>
        <v>549</v>
      </c>
      <c r="AK923">
        <f t="shared" si="43"/>
        <v>84</v>
      </c>
      <c r="AL923" s="1">
        <f t="shared" si="44"/>
        <v>0.15300546448087432</v>
      </c>
    </row>
    <row r="924" spans="1:38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42"/>
        <v>548</v>
      </c>
      <c r="AK924">
        <f t="shared" si="43"/>
        <v>84</v>
      </c>
      <c r="AL924" s="1">
        <f t="shared" si="44"/>
        <v>0.15328467153284672</v>
      </c>
    </row>
    <row r="925" spans="1:38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42"/>
        <v>547</v>
      </c>
      <c r="AK925">
        <f t="shared" si="43"/>
        <v>84</v>
      </c>
      <c r="AL925" s="1">
        <f t="shared" si="44"/>
        <v>0.15356489945155394</v>
      </c>
    </row>
    <row r="926" spans="1:38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42"/>
        <v>546</v>
      </c>
      <c r="AK926">
        <f t="shared" si="43"/>
        <v>84</v>
      </c>
      <c r="AL926" s="1">
        <f t="shared" si="44"/>
        <v>0.15384615384615385</v>
      </c>
    </row>
    <row r="927" spans="1:38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42"/>
        <v>545</v>
      </c>
      <c r="AK927">
        <f t="shared" si="43"/>
        <v>84</v>
      </c>
      <c r="AL927" s="1">
        <f t="shared" si="44"/>
        <v>0.15412844036697249</v>
      </c>
    </row>
    <row r="928" spans="1:38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42"/>
        <v>544</v>
      </c>
      <c r="AK928">
        <f t="shared" si="43"/>
        <v>84</v>
      </c>
      <c r="AL928" s="1">
        <f t="shared" si="44"/>
        <v>0.15441176470588236</v>
      </c>
    </row>
    <row r="929" spans="1:38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42"/>
        <v>543</v>
      </c>
      <c r="AK929">
        <f t="shared" si="43"/>
        <v>84</v>
      </c>
      <c r="AL929" s="1">
        <f t="shared" si="44"/>
        <v>0.15469613259668508</v>
      </c>
    </row>
    <row r="930" spans="1:38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42"/>
        <v>542</v>
      </c>
      <c r="AK930">
        <f t="shared" si="43"/>
        <v>84</v>
      </c>
      <c r="AL930" s="1">
        <f t="shared" si="44"/>
        <v>0.15498154981549817</v>
      </c>
    </row>
    <row r="931" spans="1:38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42"/>
        <v>541</v>
      </c>
      <c r="AK931">
        <f t="shared" si="43"/>
        <v>83</v>
      </c>
      <c r="AL931" s="1">
        <f t="shared" si="44"/>
        <v>0.15341959334565619</v>
      </c>
    </row>
    <row r="932" spans="1:38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42"/>
        <v>540</v>
      </c>
      <c r="AK932">
        <f t="shared" si="43"/>
        <v>83</v>
      </c>
      <c r="AL932" s="1">
        <f t="shared" si="44"/>
        <v>0.1537037037037037</v>
      </c>
    </row>
    <row r="933" spans="1:38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42"/>
        <v>539</v>
      </c>
      <c r="AK933">
        <f t="shared" si="43"/>
        <v>83</v>
      </c>
      <c r="AL933" s="1">
        <f t="shared" si="44"/>
        <v>0.15398886827458255</v>
      </c>
    </row>
    <row r="934" spans="1:38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42"/>
        <v>538</v>
      </c>
      <c r="AK934">
        <f t="shared" si="43"/>
        <v>83</v>
      </c>
      <c r="AL934" s="1">
        <f t="shared" si="44"/>
        <v>0.15427509293680297</v>
      </c>
    </row>
    <row r="935" spans="1:38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42"/>
        <v>537</v>
      </c>
      <c r="AK935">
        <f t="shared" si="43"/>
        <v>82</v>
      </c>
      <c r="AL935" s="1">
        <f t="shared" si="44"/>
        <v>0.1527001862197393</v>
      </c>
    </row>
    <row r="936" spans="1:38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42"/>
        <v>536</v>
      </c>
      <c r="AK936">
        <f t="shared" si="43"/>
        <v>82</v>
      </c>
      <c r="AL936" s="1">
        <f t="shared" si="44"/>
        <v>0.15298507462686567</v>
      </c>
    </row>
    <row r="937" spans="1:38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42"/>
        <v>535</v>
      </c>
      <c r="AK937">
        <f t="shared" si="43"/>
        <v>82</v>
      </c>
      <c r="AL937" s="1">
        <f t="shared" si="44"/>
        <v>0.15327102803738318</v>
      </c>
    </row>
    <row r="938" spans="1:38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42"/>
        <v>534</v>
      </c>
      <c r="AK938">
        <f t="shared" si="43"/>
        <v>82</v>
      </c>
      <c r="AL938" s="1">
        <f t="shared" si="44"/>
        <v>0.15355805243445692</v>
      </c>
    </row>
    <row r="939" spans="1:38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42"/>
        <v>533</v>
      </c>
      <c r="AK939">
        <f t="shared" si="43"/>
        <v>82</v>
      </c>
      <c r="AL939" s="1">
        <f t="shared" si="44"/>
        <v>0.15384615384615385</v>
      </c>
    </row>
    <row r="940" spans="1:38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42"/>
        <v>532</v>
      </c>
      <c r="AK940">
        <f t="shared" si="43"/>
        <v>82</v>
      </c>
      <c r="AL940" s="1">
        <f t="shared" si="44"/>
        <v>0.15413533834586465</v>
      </c>
    </row>
    <row r="941" spans="1:38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42"/>
        <v>531</v>
      </c>
      <c r="AK941">
        <f t="shared" si="43"/>
        <v>82</v>
      </c>
      <c r="AL941" s="1">
        <f t="shared" si="44"/>
        <v>0.1544256120527307</v>
      </c>
    </row>
    <row r="942" spans="1:38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42"/>
        <v>530</v>
      </c>
      <c r="AK942">
        <f t="shared" si="43"/>
        <v>81</v>
      </c>
      <c r="AL942" s="1">
        <f t="shared" si="44"/>
        <v>0.15283018867924528</v>
      </c>
    </row>
    <row r="943" spans="1:38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42"/>
        <v>529</v>
      </c>
      <c r="AK943">
        <f t="shared" si="43"/>
        <v>80</v>
      </c>
      <c r="AL943" s="1">
        <f t="shared" si="44"/>
        <v>0.15122873345935728</v>
      </c>
    </row>
    <row r="944" spans="1:38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42"/>
        <v>528</v>
      </c>
      <c r="AK944">
        <f t="shared" si="43"/>
        <v>80</v>
      </c>
      <c r="AL944" s="1">
        <f t="shared" si="44"/>
        <v>0.15151515151515152</v>
      </c>
    </row>
    <row r="945" spans="1:38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42"/>
        <v>527</v>
      </c>
      <c r="AK945">
        <f t="shared" si="43"/>
        <v>80</v>
      </c>
      <c r="AL945" s="1">
        <f t="shared" si="44"/>
        <v>0.15180265654648956</v>
      </c>
    </row>
    <row r="946" spans="1:38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42"/>
        <v>526</v>
      </c>
      <c r="AK946">
        <f t="shared" si="43"/>
        <v>80</v>
      </c>
      <c r="AL946" s="1">
        <f t="shared" si="44"/>
        <v>0.15209125475285171</v>
      </c>
    </row>
    <row r="947" spans="1:38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42"/>
        <v>525</v>
      </c>
      <c r="AK947">
        <f t="shared" si="43"/>
        <v>80</v>
      </c>
      <c r="AL947" s="1">
        <f t="shared" si="44"/>
        <v>0.15238095238095239</v>
      </c>
    </row>
    <row r="948" spans="1:38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42"/>
        <v>524</v>
      </c>
      <c r="AK948">
        <f t="shared" si="43"/>
        <v>80</v>
      </c>
      <c r="AL948" s="1">
        <f t="shared" si="44"/>
        <v>0.15267175572519084</v>
      </c>
    </row>
    <row r="949" spans="1:38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42"/>
        <v>523</v>
      </c>
      <c r="AK949">
        <f t="shared" si="43"/>
        <v>79</v>
      </c>
      <c r="AL949" s="1">
        <f t="shared" si="44"/>
        <v>0.15105162523900573</v>
      </c>
    </row>
    <row r="950" spans="1:38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42"/>
        <v>522</v>
      </c>
      <c r="AK950">
        <f t="shared" si="43"/>
        <v>78</v>
      </c>
      <c r="AL950" s="1">
        <f t="shared" si="44"/>
        <v>0.14942528735632185</v>
      </c>
    </row>
    <row r="951" spans="1:38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42"/>
        <v>521</v>
      </c>
      <c r="AK951">
        <f t="shared" si="43"/>
        <v>78</v>
      </c>
      <c r="AL951" s="1">
        <f t="shared" si="44"/>
        <v>0.14971209213051823</v>
      </c>
    </row>
    <row r="952" spans="1:38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42"/>
        <v>520</v>
      </c>
      <c r="AK952">
        <f t="shared" si="43"/>
        <v>78</v>
      </c>
      <c r="AL952" s="1">
        <f t="shared" si="44"/>
        <v>0.15</v>
      </c>
    </row>
    <row r="953" spans="1:38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42"/>
        <v>519</v>
      </c>
      <c r="AK953">
        <f t="shared" si="43"/>
        <v>78</v>
      </c>
      <c r="AL953" s="1">
        <f t="shared" si="44"/>
        <v>0.15028901734104047</v>
      </c>
    </row>
    <row r="954" spans="1:38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42"/>
        <v>518</v>
      </c>
      <c r="AK954">
        <f t="shared" si="43"/>
        <v>78</v>
      </c>
      <c r="AL954" s="1">
        <f t="shared" si="44"/>
        <v>0.15057915057915058</v>
      </c>
    </row>
    <row r="955" spans="1:38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42"/>
        <v>517</v>
      </c>
      <c r="AK955">
        <f t="shared" si="43"/>
        <v>77</v>
      </c>
      <c r="AL955" s="1">
        <f t="shared" si="44"/>
        <v>0.14893617021276595</v>
      </c>
    </row>
    <row r="956" spans="1:38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42"/>
        <v>516</v>
      </c>
      <c r="AK956">
        <f t="shared" si="43"/>
        <v>76</v>
      </c>
      <c r="AL956" s="1">
        <f t="shared" si="44"/>
        <v>0.14728682170542637</v>
      </c>
    </row>
    <row r="957" spans="1:38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42"/>
        <v>515</v>
      </c>
      <c r="AK957">
        <f t="shared" si="43"/>
        <v>76</v>
      </c>
      <c r="AL957" s="1">
        <f t="shared" si="44"/>
        <v>0.14757281553398058</v>
      </c>
    </row>
    <row r="958" spans="1:38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42"/>
        <v>514</v>
      </c>
      <c r="AK958">
        <f t="shared" si="43"/>
        <v>76</v>
      </c>
      <c r="AL958" s="1">
        <f t="shared" si="44"/>
        <v>0.14785992217898833</v>
      </c>
    </row>
    <row r="959" spans="1:38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42"/>
        <v>513</v>
      </c>
      <c r="AK959">
        <f t="shared" si="43"/>
        <v>76</v>
      </c>
      <c r="AL959" s="1">
        <f t="shared" si="44"/>
        <v>0.14814814814814814</v>
      </c>
    </row>
    <row r="960" spans="1:38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42"/>
        <v>512</v>
      </c>
      <c r="AK960">
        <f t="shared" si="43"/>
        <v>76</v>
      </c>
      <c r="AL960" s="1">
        <f t="shared" si="44"/>
        <v>0.1484375</v>
      </c>
    </row>
    <row r="961" spans="1:38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42"/>
        <v>511</v>
      </c>
      <c r="AK961">
        <f t="shared" si="43"/>
        <v>76</v>
      </c>
      <c r="AL961" s="1">
        <f t="shared" si="44"/>
        <v>0.14872798434442269</v>
      </c>
    </row>
    <row r="962" spans="1:38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ref="AJ962:AJ1025" si="45">COUNTA(A962:A2431)</f>
        <v>510</v>
      </c>
      <c r="AK962">
        <f t="shared" ref="AK962:AK1025" si="46">COUNTIF(B962:B2431, "Yes")</f>
        <v>76</v>
      </c>
      <c r="AL962" s="1">
        <f t="shared" ref="AL962:AL1025" si="47">COUNTIF(B962:B2431, "Yes")/COUNTA(A962:A2431)</f>
        <v>0.14901960784313725</v>
      </c>
    </row>
    <row r="963" spans="1:38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si="45"/>
        <v>509</v>
      </c>
      <c r="AK963">
        <f t="shared" si="46"/>
        <v>76</v>
      </c>
      <c r="AL963" s="1">
        <f t="shared" si="47"/>
        <v>0.14931237721021612</v>
      </c>
    </row>
    <row r="964" spans="1:38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45"/>
        <v>508</v>
      </c>
      <c r="AK964">
        <f t="shared" si="46"/>
        <v>76</v>
      </c>
      <c r="AL964" s="1">
        <f t="shared" si="47"/>
        <v>0.14960629921259844</v>
      </c>
    </row>
    <row r="965" spans="1:38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45"/>
        <v>507</v>
      </c>
      <c r="AK965">
        <f t="shared" si="46"/>
        <v>76</v>
      </c>
      <c r="AL965" s="1">
        <f t="shared" si="47"/>
        <v>0.14990138067061143</v>
      </c>
    </row>
    <row r="966" spans="1:38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45"/>
        <v>506</v>
      </c>
      <c r="AK966">
        <f t="shared" si="46"/>
        <v>76</v>
      </c>
      <c r="AL966" s="1">
        <f t="shared" si="47"/>
        <v>0.15019762845849802</v>
      </c>
    </row>
    <row r="967" spans="1:38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45"/>
        <v>505</v>
      </c>
      <c r="AK967">
        <f t="shared" si="46"/>
        <v>76</v>
      </c>
      <c r="AL967" s="1">
        <f t="shared" si="47"/>
        <v>0.15049504950495049</v>
      </c>
    </row>
    <row r="968" spans="1:38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45"/>
        <v>504</v>
      </c>
      <c r="AK968">
        <f t="shared" si="46"/>
        <v>76</v>
      </c>
      <c r="AL968" s="1">
        <f t="shared" si="47"/>
        <v>0.15079365079365079</v>
      </c>
    </row>
    <row r="969" spans="1:38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45"/>
        <v>503</v>
      </c>
      <c r="AK969">
        <f t="shared" si="46"/>
        <v>75</v>
      </c>
      <c r="AL969" s="1">
        <f t="shared" si="47"/>
        <v>0.14910536779324055</v>
      </c>
    </row>
    <row r="970" spans="1:38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45"/>
        <v>502</v>
      </c>
      <c r="AK970">
        <f t="shared" si="46"/>
        <v>75</v>
      </c>
      <c r="AL970" s="1">
        <f t="shared" si="47"/>
        <v>0.14940239043824702</v>
      </c>
    </row>
    <row r="971" spans="1:38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45"/>
        <v>501</v>
      </c>
      <c r="AK971">
        <f t="shared" si="46"/>
        <v>75</v>
      </c>
      <c r="AL971" s="1">
        <f t="shared" si="47"/>
        <v>0.1497005988023952</v>
      </c>
    </row>
    <row r="972" spans="1:38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45"/>
        <v>500</v>
      </c>
      <c r="AK972">
        <f t="shared" si="46"/>
        <v>75</v>
      </c>
      <c r="AL972" s="1">
        <f t="shared" si="47"/>
        <v>0.15</v>
      </c>
    </row>
    <row r="973" spans="1:38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45"/>
        <v>499</v>
      </c>
      <c r="AK973">
        <f t="shared" si="46"/>
        <v>75</v>
      </c>
      <c r="AL973" s="1">
        <f t="shared" si="47"/>
        <v>0.15030060120240482</v>
      </c>
    </row>
    <row r="974" spans="1:38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45"/>
        <v>498</v>
      </c>
      <c r="AK974">
        <f t="shared" si="46"/>
        <v>75</v>
      </c>
      <c r="AL974" s="1">
        <f t="shared" si="47"/>
        <v>0.15060240963855423</v>
      </c>
    </row>
    <row r="975" spans="1:38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45"/>
        <v>497</v>
      </c>
      <c r="AK975">
        <f t="shared" si="46"/>
        <v>75</v>
      </c>
      <c r="AL975" s="1">
        <f t="shared" si="47"/>
        <v>0.15090543259557343</v>
      </c>
    </row>
    <row r="976" spans="1:38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45"/>
        <v>496</v>
      </c>
      <c r="AK976">
        <f t="shared" si="46"/>
        <v>75</v>
      </c>
      <c r="AL976" s="1">
        <f t="shared" si="47"/>
        <v>0.15120967741935484</v>
      </c>
    </row>
    <row r="977" spans="1:38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45"/>
        <v>495</v>
      </c>
      <c r="AK977">
        <f t="shared" si="46"/>
        <v>75</v>
      </c>
      <c r="AL977" s="1">
        <f t="shared" si="47"/>
        <v>0.15151515151515152</v>
      </c>
    </row>
    <row r="978" spans="1:38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45"/>
        <v>494</v>
      </c>
      <c r="AK978">
        <f t="shared" si="46"/>
        <v>74</v>
      </c>
      <c r="AL978" s="1">
        <f t="shared" si="47"/>
        <v>0.14979757085020243</v>
      </c>
    </row>
    <row r="979" spans="1:38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45"/>
        <v>493</v>
      </c>
      <c r="AK979">
        <f t="shared" si="46"/>
        <v>74</v>
      </c>
      <c r="AL979" s="1">
        <f t="shared" si="47"/>
        <v>0.15010141987829614</v>
      </c>
    </row>
    <row r="980" spans="1:38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45"/>
        <v>492</v>
      </c>
      <c r="AK980">
        <f t="shared" si="46"/>
        <v>74</v>
      </c>
      <c r="AL980" s="1">
        <f t="shared" si="47"/>
        <v>0.15040650406504066</v>
      </c>
    </row>
    <row r="981" spans="1:38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45"/>
        <v>491</v>
      </c>
      <c r="AK981">
        <f t="shared" si="46"/>
        <v>74</v>
      </c>
      <c r="AL981" s="1">
        <f t="shared" si="47"/>
        <v>0.15071283095723015</v>
      </c>
    </row>
    <row r="982" spans="1:38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45"/>
        <v>490</v>
      </c>
      <c r="AK982">
        <f t="shared" si="46"/>
        <v>74</v>
      </c>
      <c r="AL982" s="1">
        <f t="shared" si="47"/>
        <v>0.15102040816326531</v>
      </c>
    </row>
    <row r="983" spans="1:38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45"/>
        <v>489</v>
      </c>
      <c r="AK983">
        <f t="shared" si="46"/>
        <v>73</v>
      </c>
      <c r="AL983" s="1">
        <f t="shared" si="47"/>
        <v>0.1492842535787321</v>
      </c>
    </row>
    <row r="984" spans="1:38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45"/>
        <v>488</v>
      </c>
      <c r="AK984">
        <f t="shared" si="46"/>
        <v>72</v>
      </c>
      <c r="AL984" s="1">
        <f t="shared" si="47"/>
        <v>0.14754098360655737</v>
      </c>
    </row>
    <row r="985" spans="1:38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45"/>
        <v>487</v>
      </c>
      <c r="AK985">
        <f t="shared" si="46"/>
        <v>72</v>
      </c>
      <c r="AL985" s="1">
        <f t="shared" si="47"/>
        <v>0.14784394250513347</v>
      </c>
    </row>
    <row r="986" spans="1:38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45"/>
        <v>486</v>
      </c>
      <c r="AK986">
        <f t="shared" si="46"/>
        <v>72</v>
      </c>
      <c r="AL986" s="1">
        <f t="shared" si="47"/>
        <v>0.14814814814814814</v>
      </c>
    </row>
    <row r="987" spans="1:38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45"/>
        <v>485</v>
      </c>
      <c r="AK987">
        <f t="shared" si="46"/>
        <v>72</v>
      </c>
      <c r="AL987" s="1">
        <f t="shared" si="47"/>
        <v>0.14845360824742268</v>
      </c>
    </row>
    <row r="988" spans="1:38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45"/>
        <v>484</v>
      </c>
      <c r="AK988">
        <f t="shared" si="46"/>
        <v>71</v>
      </c>
      <c r="AL988" s="1">
        <f t="shared" si="47"/>
        <v>0.14669421487603307</v>
      </c>
    </row>
    <row r="989" spans="1:38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45"/>
        <v>483</v>
      </c>
      <c r="AK989">
        <f t="shared" si="46"/>
        <v>71</v>
      </c>
      <c r="AL989" s="1">
        <f t="shared" si="47"/>
        <v>0.14699792960662525</v>
      </c>
    </row>
    <row r="990" spans="1:38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45"/>
        <v>482</v>
      </c>
      <c r="AK990">
        <f t="shared" si="46"/>
        <v>71</v>
      </c>
      <c r="AL990" s="1">
        <f t="shared" si="47"/>
        <v>0.14730290456431536</v>
      </c>
    </row>
    <row r="991" spans="1:38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45"/>
        <v>481</v>
      </c>
      <c r="AK991">
        <f t="shared" si="46"/>
        <v>71</v>
      </c>
      <c r="AL991" s="1">
        <f t="shared" si="47"/>
        <v>0.14760914760914762</v>
      </c>
    </row>
    <row r="992" spans="1:38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45"/>
        <v>480</v>
      </c>
      <c r="AK992">
        <f t="shared" si="46"/>
        <v>71</v>
      </c>
      <c r="AL992" s="1">
        <f t="shared" si="47"/>
        <v>0.14791666666666667</v>
      </c>
    </row>
    <row r="993" spans="1:38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45"/>
        <v>479</v>
      </c>
      <c r="AK993">
        <f t="shared" si="46"/>
        <v>71</v>
      </c>
      <c r="AL993" s="1">
        <f t="shared" si="47"/>
        <v>0.14822546972860126</v>
      </c>
    </row>
    <row r="994" spans="1:38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45"/>
        <v>478</v>
      </c>
      <c r="AK994">
        <f t="shared" si="46"/>
        <v>71</v>
      </c>
      <c r="AL994" s="1">
        <f t="shared" si="47"/>
        <v>0.14853556485355648</v>
      </c>
    </row>
    <row r="995" spans="1:38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45"/>
        <v>477</v>
      </c>
      <c r="AK995">
        <f t="shared" si="46"/>
        <v>71</v>
      </c>
      <c r="AL995" s="1">
        <f t="shared" si="47"/>
        <v>0.1488469601677149</v>
      </c>
    </row>
    <row r="996" spans="1:38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45"/>
        <v>476</v>
      </c>
      <c r="AK996">
        <f t="shared" si="46"/>
        <v>71</v>
      </c>
      <c r="AL996" s="1">
        <f t="shared" si="47"/>
        <v>0.14915966386554622</v>
      </c>
    </row>
    <row r="997" spans="1:38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45"/>
        <v>475</v>
      </c>
      <c r="AK997">
        <f t="shared" si="46"/>
        <v>71</v>
      </c>
      <c r="AL997" s="1">
        <f t="shared" si="47"/>
        <v>0.14947368421052631</v>
      </c>
    </row>
    <row r="998" spans="1:38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45"/>
        <v>474</v>
      </c>
      <c r="AK998">
        <f t="shared" si="46"/>
        <v>71</v>
      </c>
      <c r="AL998" s="1">
        <f t="shared" si="47"/>
        <v>0.14978902953586498</v>
      </c>
    </row>
    <row r="999" spans="1:38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45"/>
        <v>473</v>
      </c>
      <c r="AK999">
        <f t="shared" si="46"/>
        <v>71</v>
      </c>
      <c r="AL999" s="1">
        <f t="shared" si="47"/>
        <v>0.15010570824524314</v>
      </c>
    </row>
    <row r="1000" spans="1:38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45"/>
        <v>472</v>
      </c>
      <c r="AK1000">
        <f t="shared" si="46"/>
        <v>70</v>
      </c>
      <c r="AL1000" s="1">
        <f t="shared" si="47"/>
        <v>0.14830508474576271</v>
      </c>
    </row>
    <row r="1001" spans="1:38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45"/>
        <v>471</v>
      </c>
      <c r="AK1001">
        <f t="shared" si="46"/>
        <v>70</v>
      </c>
      <c r="AL1001" s="1">
        <f t="shared" si="47"/>
        <v>0.14861995753715498</v>
      </c>
    </row>
    <row r="1002" spans="1:38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45"/>
        <v>470</v>
      </c>
      <c r="AK1002">
        <f t="shared" si="46"/>
        <v>70</v>
      </c>
      <c r="AL1002" s="1">
        <f t="shared" si="47"/>
        <v>0.14893617021276595</v>
      </c>
    </row>
    <row r="1003" spans="1:38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45"/>
        <v>469</v>
      </c>
      <c r="AK1003">
        <f t="shared" si="46"/>
        <v>70</v>
      </c>
      <c r="AL1003" s="1">
        <f t="shared" si="47"/>
        <v>0.14925373134328357</v>
      </c>
    </row>
    <row r="1004" spans="1:38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45"/>
        <v>468</v>
      </c>
      <c r="AK1004">
        <f t="shared" si="46"/>
        <v>70</v>
      </c>
      <c r="AL1004" s="1">
        <f t="shared" si="47"/>
        <v>0.14957264957264957</v>
      </c>
    </row>
    <row r="1005" spans="1:38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45"/>
        <v>467</v>
      </c>
      <c r="AK1005">
        <f t="shared" si="46"/>
        <v>70</v>
      </c>
      <c r="AL1005" s="1">
        <f t="shared" si="47"/>
        <v>0.14989293361884368</v>
      </c>
    </row>
    <row r="1006" spans="1:38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45"/>
        <v>466</v>
      </c>
      <c r="AK1006">
        <f t="shared" si="46"/>
        <v>70</v>
      </c>
      <c r="AL1006" s="1">
        <f t="shared" si="47"/>
        <v>0.15021459227467812</v>
      </c>
    </row>
    <row r="1007" spans="1:38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45"/>
        <v>465</v>
      </c>
      <c r="AK1007">
        <f t="shared" si="46"/>
        <v>70</v>
      </c>
      <c r="AL1007" s="1">
        <f t="shared" si="47"/>
        <v>0.15053763440860216</v>
      </c>
    </row>
    <row r="1008" spans="1:38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45"/>
        <v>464</v>
      </c>
      <c r="AK1008">
        <f t="shared" si="46"/>
        <v>70</v>
      </c>
      <c r="AL1008" s="1">
        <f t="shared" si="47"/>
        <v>0.15086206896551724</v>
      </c>
    </row>
    <row r="1009" spans="1:38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45"/>
        <v>463</v>
      </c>
      <c r="AK1009">
        <f t="shared" si="46"/>
        <v>69</v>
      </c>
      <c r="AL1009" s="1">
        <f t="shared" si="47"/>
        <v>0.14902807775377969</v>
      </c>
    </row>
    <row r="1010" spans="1:38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45"/>
        <v>462</v>
      </c>
      <c r="AK1010">
        <f t="shared" si="46"/>
        <v>68</v>
      </c>
      <c r="AL1010" s="1">
        <f t="shared" si="47"/>
        <v>0.1471861471861472</v>
      </c>
    </row>
    <row r="1011" spans="1:38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45"/>
        <v>461</v>
      </c>
      <c r="AK1011">
        <f t="shared" si="46"/>
        <v>68</v>
      </c>
      <c r="AL1011" s="1">
        <f t="shared" si="47"/>
        <v>0.1475054229934924</v>
      </c>
    </row>
    <row r="1012" spans="1:38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45"/>
        <v>460</v>
      </c>
      <c r="AK1012">
        <f t="shared" si="46"/>
        <v>68</v>
      </c>
      <c r="AL1012" s="1">
        <f t="shared" si="47"/>
        <v>0.14782608695652175</v>
      </c>
    </row>
    <row r="1013" spans="1:38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45"/>
        <v>459</v>
      </c>
      <c r="AK1013">
        <f t="shared" si="46"/>
        <v>68</v>
      </c>
      <c r="AL1013" s="1">
        <f t="shared" si="47"/>
        <v>0.14814814814814814</v>
      </c>
    </row>
    <row r="1014" spans="1:38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45"/>
        <v>458</v>
      </c>
      <c r="AK1014">
        <f t="shared" si="46"/>
        <v>68</v>
      </c>
      <c r="AL1014" s="1">
        <f t="shared" si="47"/>
        <v>0.14847161572052403</v>
      </c>
    </row>
    <row r="1015" spans="1:38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45"/>
        <v>457</v>
      </c>
      <c r="AK1015">
        <f t="shared" si="46"/>
        <v>67</v>
      </c>
      <c r="AL1015" s="1">
        <f t="shared" si="47"/>
        <v>0.14660831509846828</v>
      </c>
    </row>
    <row r="1016" spans="1:38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45"/>
        <v>456</v>
      </c>
      <c r="AK1016">
        <f t="shared" si="46"/>
        <v>67</v>
      </c>
      <c r="AL1016" s="1">
        <f t="shared" si="47"/>
        <v>0.14692982456140352</v>
      </c>
    </row>
    <row r="1017" spans="1:38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45"/>
        <v>455</v>
      </c>
      <c r="AK1017">
        <f t="shared" si="46"/>
        <v>67</v>
      </c>
      <c r="AL1017" s="1">
        <f t="shared" si="47"/>
        <v>0.14725274725274726</v>
      </c>
    </row>
    <row r="1018" spans="1:38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45"/>
        <v>454</v>
      </c>
      <c r="AK1018">
        <f t="shared" si="46"/>
        <v>67</v>
      </c>
      <c r="AL1018" s="1">
        <f t="shared" si="47"/>
        <v>0.14757709251101322</v>
      </c>
    </row>
    <row r="1019" spans="1:38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45"/>
        <v>453</v>
      </c>
      <c r="AK1019">
        <f t="shared" si="46"/>
        <v>66</v>
      </c>
      <c r="AL1019" s="1">
        <f t="shared" si="47"/>
        <v>0.14569536423841059</v>
      </c>
    </row>
    <row r="1020" spans="1:38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45"/>
        <v>452</v>
      </c>
      <c r="AK1020">
        <f t="shared" si="46"/>
        <v>66</v>
      </c>
      <c r="AL1020" s="1">
        <f t="shared" si="47"/>
        <v>0.14601769911504425</v>
      </c>
    </row>
    <row r="1021" spans="1:38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45"/>
        <v>451</v>
      </c>
      <c r="AK1021">
        <f t="shared" si="46"/>
        <v>66</v>
      </c>
      <c r="AL1021" s="1">
        <f t="shared" si="47"/>
        <v>0.14634146341463414</v>
      </c>
    </row>
    <row r="1022" spans="1:38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45"/>
        <v>450</v>
      </c>
      <c r="AK1022">
        <f t="shared" si="46"/>
        <v>66</v>
      </c>
      <c r="AL1022" s="1">
        <f t="shared" si="47"/>
        <v>0.14666666666666667</v>
      </c>
    </row>
    <row r="1023" spans="1:38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45"/>
        <v>449</v>
      </c>
      <c r="AK1023">
        <f t="shared" si="46"/>
        <v>66</v>
      </c>
      <c r="AL1023" s="1">
        <f t="shared" si="47"/>
        <v>0.14699331848552338</v>
      </c>
    </row>
    <row r="1024" spans="1:38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45"/>
        <v>448</v>
      </c>
      <c r="AK1024">
        <f t="shared" si="46"/>
        <v>65</v>
      </c>
      <c r="AL1024" s="1">
        <f t="shared" si="47"/>
        <v>0.14508928571428573</v>
      </c>
    </row>
    <row r="1025" spans="1:38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45"/>
        <v>447</v>
      </c>
      <c r="AK1025">
        <f t="shared" si="46"/>
        <v>65</v>
      </c>
      <c r="AL1025" s="1">
        <f t="shared" si="47"/>
        <v>0.14541387024608501</v>
      </c>
    </row>
    <row r="1026" spans="1:38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ref="AJ1026:AJ1089" si="48">COUNTA(A1026:A2495)</f>
        <v>446</v>
      </c>
      <c r="AK1026">
        <f t="shared" ref="AK1026:AK1089" si="49">COUNTIF(B1026:B2495, "Yes")</f>
        <v>65</v>
      </c>
      <c r="AL1026" s="1">
        <f t="shared" ref="AL1026:AL1089" si="50">COUNTIF(B1026:B2495, "Yes")/COUNTA(A1026:A2495)</f>
        <v>0.14573991031390135</v>
      </c>
    </row>
    <row r="1027" spans="1:38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si="48"/>
        <v>445</v>
      </c>
      <c r="AK1027">
        <f t="shared" si="49"/>
        <v>65</v>
      </c>
      <c r="AL1027" s="1">
        <f t="shared" si="50"/>
        <v>0.14606741573033707</v>
      </c>
    </row>
    <row r="1028" spans="1:38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48"/>
        <v>444</v>
      </c>
      <c r="AK1028">
        <f t="shared" si="49"/>
        <v>65</v>
      </c>
      <c r="AL1028" s="1">
        <f t="shared" si="50"/>
        <v>0.1463963963963964</v>
      </c>
    </row>
    <row r="1029" spans="1:38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48"/>
        <v>443</v>
      </c>
      <c r="AK1029">
        <f t="shared" si="49"/>
        <v>65</v>
      </c>
      <c r="AL1029" s="1">
        <f t="shared" si="50"/>
        <v>0.14672686230248308</v>
      </c>
    </row>
    <row r="1030" spans="1:38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48"/>
        <v>442</v>
      </c>
      <c r="AK1030">
        <f t="shared" si="49"/>
        <v>65</v>
      </c>
      <c r="AL1030" s="1">
        <f t="shared" si="50"/>
        <v>0.14705882352941177</v>
      </c>
    </row>
    <row r="1031" spans="1:38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48"/>
        <v>441</v>
      </c>
      <c r="AK1031">
        <f t="shared" si="49"/>
        <v>65</v>
      </c>
      <c r="AL1031" s="1">
        <f t="shared" si="50"/>
        <v>0.14739229024943309</v>
      </c>
    </row>
    <row r="1032" spans="1:38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48"/>
        <v>440</v>
      </c>
      <c r="AK1032">
        <f t="shared" si="49"/>
        <v>65</v>
      </c>
      <c r="AL1032" s="1">
        <f t="shared" si="50"/>
        <v>0.14772727272727273</v>
      </c>
    </row>
    <row r="1033" spans="1:38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48"/>
        <v>439</v>
      </c>
      <c r="AK1033">
        <f t="shared" si="49"/>
        <v>65</v>
      </c>
      <c r="AL1033" s="1">
        <f t="shared" si="50"/>
        <v>0.1480637813211845</v>
      </c>
    </row>
    <row r="1034" spans="1:38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48"/>
        <v>438</v>
      </c>
      <c r="AK1034">
        <f t="shared" si="49"/>
        <v>64</v>
      </c>
      <c r="AL1034" s="1">
        <f t="shared" si="50"/>
        <v>0.14611872146118721</v>
      </c>
    </row>
    <row r="1035" spans="1:38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48"/>
        <v>437</v>
      </c>
      <c r="AK1035">
        <f t="shared" si="49"/>
        <v>63</v>
      </c>
      <c r="AL1035" s="1">
        <f t="shared" si="50"/>
        <v>0.14416475972540047</v>
      </c>
    </row>
    <row r="1036" spans="1:38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48"/>
        <v>436</v>
      </c>
      <c r="AK1036">
        <f t="shared" si="49"/>
        <v>62</v>
      </c>
      <c r="AL1036" s="1">
        <f t="shared" si="50"/>
        <v>0.14220183486238533</v>
      </c>
    </row>
    <row r="1037" spans="1:38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48"/>
        <v>435</v>
      </c>
      <c r="AK1037">
        <f t="shared" si="49"/>
        <v>62</v>
      </c>
      <c r="AL1037" s="1">
        <f t="shared" si="50"/>
        <v>0.14252873563218391</v>
      </c>
    </row>
    <row r="1038" spans="1:38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48"/>
        <v>434</v>
      </c>
      <c r="AK1038">
        <f t="shared" si="49"/>
        <v>62</v>
      </c>
      <c r="AL1038" s="1">
        <f t="shared" si="50"/>
        <v>0.14285714285714285</v>
      </c>
    </row>
    <row r="1039" spans="1:38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48"/>
        <v>433</v>
      </c>
      <c r="AK1039">
        <f t="shared" si="49"/>
        <v>61</v>
      </c>
      <c r="AL1039" s="1">
        <f t="shared" si="50"/>
        <v>0.14087759815242495</v>
      </c>
    </row>
    <row r="1040" spans="1:38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48"/>
        <v>432</v>
      </c>
      <c r="AK1040">
        <f t="shared" si="49"/>
        <v>61</v>
      </c>
      <c r="AL1040" s="1">
        <f t="shared" si="50"/>
        <v>0.14120370370370369</v>
      </c>
    </row>
    <row r="1041" spans="1:38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48"/>
        <v>431</v>
      </c>
      <c r="AK1041">
        <f t="shared" si="49"/>
        <v>61</v>
      </c>
      <c r="AL1041" s="1">
        <f t="shared" si="50"/>
        <v>0.14153132250580047</v>
      </c>
    </row>
    <row r="1042" spans="1:38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48"/>
        <v>430</v>
      </c>
      <c r="AK1042">
        <f t="shared" si="49"/>
        <v>60</v>
      </c>
      <c r="AL1042" s="1">
        <f t="shared" si="50"/>
        <v>0.13953488372093023</v>
      </c>
    </row>
    <row r="1043" spans="1:38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48"/>
        <v>429</v>
      </c>
      <c r="AK1043">
        <f t="shared" si="49"/>
        <v>60</v>
      </c>
      <c r="AL1043" s="1">
        <f t="shared" si="50"/>
        <v>0.13986013986013987</v>
      </c>
    </row>
    <row r="1044" spans="1:38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48"/>
        <v>428</v>
      </c>
      <c r="AK1044">
        <f t="shared" si="49"/>
        <v>60</v>
      </c>
      <c r="AL1044" s="1">
        <f t="shared" si="50"/>
        <v>0.14018691588785046</v>
      </c>
    </row>
    <row r="1045" spans="1:38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48"/>
        <v>427</v>
      </c>
      <c r="AK1045">
        <f t="shared" si="49"/>
        <v>60</v>
      </c>
      <c r="AL1045" s="1">
        <f t="shared" si="50"/>
        <v>0.14051522248243559</v>
      </c>
    </row>
    <row r="1046" spans="1:38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48"/>
        <v>426</v>
      </c>
      <c r="AK1046">
        <f t="shared" si="49"/>
        <v>60</v>
      </c>
      <c r="AL1046" s="1">
        <f t="shared" si="50"/>
        <v>0.14084507042253522</v>
      </c>
    </row>
    <row r="1047" spans="1:38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48"/>
        <v>425</v>
      </c>
      <c r="AK1047">
        <f t="shared" si="49"/>
        <v>60</v>
      </c>
      <c r="AL1047" s="1">
        <f t="shared" si="50"/>
        <v>0.14117647058823529</v>
      </c>
    </row>
    <row r="1048" spans="1:38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48"/>
        <v>424</v>
      </c>
      <c r="AK1048">
        <f t="shared" si="49"/>
        <v>60</v>
      </c>
      <c r="AL1048" s="1">
        <f t="shared" si="50"/>
        <v>0.14150943396226415</v>
      </c>
    </row>
    <row r="1049" spans="1:38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48"/>
        <v>423</v>
      </c>
      <c r="AK1049">
        <f t="shared" si="49"/>
        <v>60</v>
      </c>
      <c r="AL1049" s="1">
        <f t="shared" si="50"/>
        <v>0.14184397163120568</v>
      </c>
    </row>
    <row r="1050" spans="1:38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48"/>
        <v>422</v>
      </c>
      <c r="AK1050">
        <f t="shared" si="49"/>
        <v>60</v>
      </c>
      <c r="AL1050" s="1">
        <f t="shared" si="50"/>
        <v>0.14218009478672985</v>
      </c>
    </row>
    <row r="1051" spans="1:38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48"/>
        <v>421</v>
      </c>
      <c r="AK1051">
        <f t="shared" si="49"/>
        <v>60</v>
      </c>
      <c r="AL1051" s="1">
        <f t="shared" si="50"/>
        <v>0.14251781472684086</v>
      </c>
    </row>
    <row r="1052" spans="1:38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48"/>
        <v>420</v>
      </c>
      <c r="AK1052">
        <f t="shared" si="49"/>
        <v>60</v>
      </c>
      <c r="AL1052" s="1">
        <f t="shared" si="50"/>
        <v>0.14285714285714285</v>
      </c>
    </row>
    <row r="1053" spans="1:38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48"/>
        <v>419</v>
      </c>
      <c r="AK1053">
        <f t="shared" si="49"/>
        <v>60</v>
      </c>
      <c r="AL1053" s="1">
        <f t="shared" si="50"/>
        <v>0.14319809069212411</v>
      </c>
    </row>
    <row r="1054" spans="1:38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48"/>
        <v>418</v>
      </c>
      <c r="AK1054">
        <f t="shared" si="49"/>
        <v>60</v>
      </c>
      <c r="AL1054" s="1">
        <f t="shared" si="50"/>
        <v>0.14354066985645933</v>
      </c>
    </row>
    <row r="1055" spans="1:38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48"/>
        <v>417</v>
      </c>
      <c r="AK1055">
        <f t="shared" si="49"/>
        <v>60</v>
      </c>
      <c r="AL1055" s="1">
        <f t="shared" si="50"/>
        <v>0.14388489208633093</v>
      </c>
    </row>
    <row r="1056" spans="1:38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48"/>
        <v>416</v>
      </c>
      <c r="AK1056">
        <f t="shared" si="49"/>
        <v>60</v>
      </c>
      <c r="AL1056" s="1">
        <f t="shared" si="50"/>
        <v>0.14423076923076922</v>
      </c>
    </row>
    <row r="1057" spans="1:38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48"/>
        <v>415</v>
      </c>
      <c r="AK1057">
        <f t="shared" si="49"/>
        <v>60</v>
      </c>
      <c r="AL1057" s="1">
        <f t="shared" si="50"/>
        <v>0.14457831325301204</v>
      </c>
    </row>
    <row r="1058" spans="1:38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48"/>
        <v>414</v>
      </c>
      <c r="AK1058">
        <f t="shared" si="49"/>
        <v>60</v>
      </c>
      <c r="AL1058" s="1">
        <f t="shared" si="50"/>
        <v>0.14492753623188406</v>
      </c>
    </row>
    <row r="1059" spans="1:38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48"/>
        <v>413</v>
      </c>
      <c r="AK1059">
        <f t="shared" si="49"/>
        <v>59</v>
      </c>
      <c r="AL1059" s="1">
        <f t="shared" si="50"/>
        <v>0.14285714285714285</v>
      </c>
    </row>
    <row r="1060" spans="1:38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48"/>
        <v>412</v>
      </c>
      <c r="AK1060">
        <f t="shared" si="49"/>
        <v>58</v>
      </c>
      <c r="AL1060" s="1">
        <f t="shared" si="50"/>
        <v>0.14077669902912621</v>
      </c>
    </row>
    <row r="1061" spans="1:38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48"/>
        <v>411</v>
      </c>
      <c r="AK1061">
        <f t="shared" si="49"/>
        <v>57</v>
      </c>
      <c r="AL1061" s="1">
        <f t="shared" si="50"/>
        <v>0.13868613138686131</v>
      </c>
    </row>
    <row r="1062" spans="1:38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48"/>
        <v>410</v>
      </c>
      <c r="AK1062">
        <f t="shared" si="49"/>
        <v>57</v>
      </c>
      <c r="AL1062" s="1">
        <f t="shared" si="50"/>
        <v>0.13902439024390245</v>
      </c>
    </row>
    <row r="1063" spans="1:38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48"/>
        <v>409</v>
      </c>
      <c r="AK1063">
        <f t="shared" si="49"/>
        <v>56</v>
      </c>
      <c r="AL1063" s="1">
        <f t="shared" si="50"/>
        <v>0.13691931540342298</v>
      </c>
    </row>
    <row r="1064" spans="1:38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48"/>
        <v>408</v>
      </c>
      <c r="AK1064">
        <f t="shared" si="49"/>
        <v>56</v>
      </c>
      <c r="AL1064" s="1">
        <f t="shared" si="50"/>
        <v>0.13725490196078433</v>
      </c>
    </row>
    <row r="1065" spans="1:38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48"/>
        <v>407</v>
      </c>
      <c r="AK1065">
        <f t="shared" si="49"/>
        <v>56</v>
      </c>
      <c r="AL1065" s="1">
        <f t="shared" si="50"/>
        <v>0.13759213759213759</v>
      </c>
    </row>
    <row r="1066" spans="1:38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48"/>
        <v>406</v>
      </c>
      <c r="AK1066">
        <f t="shared" si="49"/>
        <v>56</v>
      </c>
      <c r="AL1066" s="1">
        <f t="shared" si="50"/>
        <v>0.13793103448275862</v>
      </c>
    </row>
    <row r="1067" spans="1:38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48"/>
        <v>405</v>
      </c>
      <c r="AK1067">
        <f t="shared" si="49"/>
        <v>56</v>
      </c>
      <c r="AL1067" s="1">
        <f t="shared" si="50"/>
        <v>0.13827160493827159</v>
      </c>
    </row>
    <row r="1068" spans="1:38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48"/>
        <v>404</v>
      </c>
      <c r="AK1068">
        <f t="shared" si="49"/>
        <v>56</v>
      </c>
      <c r="AL1068" s="1">
        <f t="shared" si="50"/>
        <v>0.13861386138613863</v>
      </c>
    </row>
    <row r="1069" spans="1:38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48"/>
        <v>403</v>
      </c>
      <c r="AK1069">
        <f t="shared" si="49"/>
        <v>56</v>
      </c>
      <c r="AL1069" s="1">
        <f t="shared" si="50"/>
        <v>0.13895781637717122</v>
      </c>
    </row>
    <row r="1070" spans="1:38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48"/>
        <v>402</v>
      </c>
      <c r="AK1070">
        <f t="shared" si="49"/>
        <v>56</v>
      </c>
      <c r="AL1070" s="1">
        <f t="shared" si="50"/>
        <v>0.13930348258706468</v>
      </c>
    </row>
    <row r="1071" spans="1:38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48"/>
        <v>401</v>
      </c>
      <c r="AK1071">
        <f t="shared" si="49"/>
        <v>55</v>
      </c>
      <c r="AL1071" s="1">
        <f t="shared" si="50"/>
        <v>0.13715710723192021</v>
      </c>
    </row>
    <row r="1072" spans="1:38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48"/>
        <v>400</v>
      </c>
      <c r="AK1072">
        <f t="shared" si="49"/>
        <v>55</v>
      </c>
      <c r="AL1072" s="1">
        <f t="shared" si="50"/>
        <v>0.13750000000000001</v>
      </c>
    </row>
    <row r="1073" spans="1:38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48"/>
        <v>399</v>
      </c>
      <c r="AK1073">
        <f t="shared" si="49"/>
        <v>55</v>
      </c>
      <c r="AL1073" s="1">
        <f t="shared" si="50"/>
        <v>0.13784461152882205</v>
      </c>
    </row>
    <row r="1074" spans="1:38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48"/>
        <v>398</v>
      </c>
      <c r="AK1074">
        <f t="shared" si="49"/>
        <v>55</v>
      </c>
      <c r="AL1074" s="1">
        <f t="shared" si="50"/>
        <v>0.13819095477386933</v>
      </c>
    </row>
    <row r="1075" spans="1:38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48"/>
        <v>397</v>
      </c>
      <c r="AK1075">
        <f t="shared" si="49"/>
        <v>55</v>
      </c>
      <c r="AL1075" s="1">
        <f t="shared" si="50"/>
        <v>0.1385390428211587</v>
      </c>
    </row>
    <row r="1076" spans="1:38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48"/>
        <v>396</v>
      </c>
      <c r="AK1076">
        <f t="shared" si="49"/>
        <v>55</v>
      </c>
      <c r="AL1076" s="1">
        <f t="shared" si="50"/>
        <v>0.1388888888888889</v>
      </c>
    </row>
    <row r="1077" spans="1:38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48"/>
        <v>395</v>
      </c>
      <c r="AK1077">
        <f t="shared" si="49"/>
        <v>55</v>
      </c>
      <c r="AL1077" s="1">
        <f t="shared" si="50"/>
        <v>0.13924050632911392</v>
      </c>
    </row>
    <row r="1078" spans="1:38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48"/>
        <v>394</v>
      </c>
      <c r="AK1078">
        <f t="shared" si="49"/>
        <v>55</v>
      </c>
      <c r="AL1078" s="1">
        <f t="shared" si="50"/>
        <v>0.13959390862944163</v>
      </c>
    </row>
    <row r="1079" spans="1:38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48"/>
        <v>393</v>
      </c>
      <c r="AK1079">
        <f t="shared" si="49"/>
        <v>55</v>
      </c>
      <c r="AL1079" s="1">
        <f t="shared" si="50"/>
        <v>0.13994910941475827</v>
      </c>
    </row>
    <row r="1080" spans="1:38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48"/>
        <v>392</v>
      </c>
      <c r="AK1080">
        <f t="shared" si="49"/>
        <v>54</v>
      </c>
      <c r="AL1080" s="1">
        <f t="shared" si="50"/>
        <v>0.13775510204081631</v>
      </c>
    </row>
    <row r="1081" spans="1:38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48"/>
        <v>391</v>
      </c>
      <c r="AK1081">
        <f t="shared" si="49"/>
        <v>54</v>
      </c>
      <c r="AL1081" s="1">
        <f t="shared" si="50"/>
        <v>0.13810741687979539</v>
      </c>
    </row>
    <row r="1082" spans="1:38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48"/>
        <v>390</v>
      </c>
      <c r="AK1082">
        <f t="shared" si="49"/>
        <v>54</v>
      </c>
      <c r="AL1082" s="1">
        <f t="shared" si="50"/>
        <v>0.13846153846153847</v>
      </c>
    </row>
    <row r="1083" spans="1:38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48"/>
        <v>389</v>
      </c>
      <c r="AK1083">
        <f t="shared" si="49"/>
        <v>54</v>
      </c>
      <c r="AL1083" s="1">
        <f t="shared" si="50"/>
        <v>0.13881748071979436</v>
      </c>
    </row>
    <row r="1084" spans="1:38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48"/>
        <v>388</v>
      </c>
      <c r="AK1084">
        <f t="shared" si="49"/>
        <v>54</v>
      </c>
      <c r="AL1084" s="1">
        <f t="shared" si="50"/>
        <v>0.13917525773195877</v>
      </c>
    </row>
    <row r="1085" spans="1:38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48"/>
        <v>387</v>
      </c>
      <c r="AK1085">
        <f t="shared" si="49"/>
        <v>54</v>
      </c>
      <c r="AL1085" s="1">
        <f t="shared" si="50"/>
        <v>0.13953488372093023</v>
      </c>
    </row>
    <row r="1086" spans="1:38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48"/>
        <v>386</v>
      </c>
      <c r="AK1086">
        <f t="shared" si="49"/>
        <v>53</v>
      </c>
      <c r="AL1086" s="1">
        <f t="shared" si="50"/>
        <v>0.13730569948186527</v>
      </c>
    </row>
    <row r="1087" spans="1:38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48"/>
        <v>385</v>
      </c>
      <c r="AK1087">
        <f t="shared" si="49"/>
        <v>53</v>
      </c>
      <c r="AL1087" s="1">
        <f t="shared" si="50"/>
        <v>0.13766233766233765</v>
      </c>
    </row>
    <row r="1088" spans="1:38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48"/>
        <v>384</v>
      </c>
      <c r="AK1088">
        <f t="shared" si="49"/>
        <v>52</v>
      </c>
      <c r="AL1088" s="1">
        <f t="shared" si="50"/>
        <v>0.13541666666666666</v>
      </c>
    </row>
    <row r="1089" spans="1:38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48"/>
        <v>383</v>
      </c>
      <c r="AK1089">
        <f t="shared" si="49"/>
        <v>52</v>
      </c>
      <c r="AL1089" s="1">
        <f t="shared" si="50"/>
        <v>0.13577023498694518</v>
      </c>
    </row>
    <row r="1090" spans="1:38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ref="AJ1090:AJ1153" si="51">COUNTA(A1090:A2559)</f>
        <v>382</v>
      </c>
      <c r="AK1090">
        <f t="shared" ref="AK1090:AK1153" si="52">COUNTIF(B1090:B2559, "Yes")</f>
        <v>52</v>
      </c>
      <c r="AL1090" s="1">
        <f t="shared" ref="AL1090:AL1153" si="53">COUNTIF(B1090:B2559, "Yes")/COUNTA(A1090:A2559)</f>
        <v>0.13612565445026178</v>
      </c>
    </row>
    <row r="1091" spans="1:38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si="51"/>
        <v>381</v>
      </c>
      <c r="AK1091">
        <f t="shared" si="52"/>
        <v>52</v>
      </c>
      <c r="AL1091" s="1">
        <f t="shared" si="53"/>
        <v>0.13648293963254593</v>
      </c>
    </row>
    <row r="1092" spans="1:38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51"/>
        <v>380</v>
      </c>
      <c r="AK1092">
        <f t="shared" si="52"/>
        <v>52</v>
      </c>
      <c r="AL1092" s="1">
        <f t="shared" si="53"/>
        <v>0.1368421052631579</v>
      </c>
    </row>
    <row r="1093" spans="1:38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51"/>
        <v>379</v>
      </c>
      <c r="AK1093">
        <f t="shared" si="52"/>
        <v>52</v>
      </c>
      <c r="AL1093" s="1">
        <f t="shared" si="53"/>
        <v>0.13720316622691292</v>
      </c>
    </row>
    <row r="1094" spans="1:38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51"/>
        <v>378</v>
      </c>
      <c r="AK1094">
        <f t="shared" si="52"/>
        <v>52</v>
      </c>
      <c r="AL1094" s="1">
        <f t="shared" si="53"/>
        <v>0.13756613756613756</v>
      </c>
    </row>
    <row r="1095" spans="1:38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51"/>
        <v>377</v>
      </c>
      <c r="AK1095">
        <f t="shared" si="52"/>
        <v>52</v>
      </c>
      <c r="AL1095" s="1">
        <f t="shared" si="53"/>
        <v>0.13793103448275862</v>
      </c>
    </row>
    <row r="1096" spans="1:38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51"/>
        <v>376</v>
      </c>
      <c r="AK1096">
        <f t="shared" si="52"/>
        <v>52</v>
      </c>
      <c r="AL1096" s="1">
        <f t="shared" si="53"/>
        <v>0.13829787234042554</v>
      </c>
    </row>
    <row r="1097" spans="1:38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51"/>
        <v>375</v>
      </c>
      <c r="AK1097">
        <f t="shared" si="52"/>
        <v>52</v>
      </c>
      <c r="AL1097" s="1">
        <f t="shared" si="53"/>
        <v>0.13866666666666666</v>
      </c>
    </row>
    <row r="1098" spans="1:38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51"/>
        <v>374</v>
      </c>
      <c r="AK1098">
        <f t="shared" si="52"/>
        <v>52</v>
      </c>
      <c r="AL1098" s="1">
        <f t="shared" si="53"/>
        <v>0.13903743315508021</v>
      </c>
    </row>
    <row r="1099" spans="1:38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51"/>
        <v>373</v>
      </c>
      <c r="AK1099">
        <f t="shared" si="52"/>
        <v>52</v>
      </c>
      <c r="AL1099" s="1">
        <f t="shared" si="53"/>
        <v>0.13941018766756033</v>
      </c>
    </row>
    <row r="1100" spans="1:38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51"/>
        <v>372</v>
      </c>
      <c r="AK1100">
        <f t="shared" si="52"/>
        <v>52</v>
      </c>
      <c r="AL1100" s="1">
        <f t="shared" si="53"/>
        <v>0.13978494623655913</v>
      </c>
    </row>
    <row r="1101" spans="1:38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51"/>
        <v>371</v>
      </c>
      <c r="AK1101">
        <f t="shared" si="52"/>
        <v>52</v>
      </c>
      <c r="AL1101" s="1">
        <f t="shared" si="53"/>
        <v>0.14016172506738545</v>
      </c>
    </row>
    <row r="1102" spans="1:38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51"/>
        <v>370</v>
      </c>
      <c r="AK1102">
        <f t="shared" si="52"/>
        <v>52</v>
      </c>
      <c r="AL1102" s="1">
        <f t="shared" si="53"/>
        <v>0.14054054054054055</v>
      </c>
    </row>
    <row r="1103" spans="1:38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51"/>
        <v>369</v>
      </c>
      <c r="AK1103">
        <f t="shared" si="52"/>
        <v>52</v>
      </c>
      <c r="AL1103" s="1">
        <f t="shared" si="53"/>
        <v>0.14092140921409213</v>
      </c>
    </row>
    <row r="1104" spans="1:38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51"/>
        <v>368</v>
      </c>
      <c r="AK1104">
        <f t="shared" si="52"/>
        <v>52</v>
      </c>
      <c r="AL1104" s="1">
        <f t="shared" si="53"/>
        <v>0.14130434782608695</v>
      </c>
    </row>
    <row r="1105" spans="1:38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51"/>
        <v>367</v>
      </c>
      <c r="AK1105">
        <f t="shared" si="52"/>
        <v>52</v>
      </c>
      <c r="AL1105" s="1">
        <f t="shared" si="53"/>
        <v>0.14168937329700274</v>
      </c>
    </row>
    <row r="1106" spans="1:38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51"/>
        <v>366</v>
      </c>
      <c r="AK1106">
        <f t="shared" si="52"/>
        <v>52</v>
      </c>
      <c r="AL1106" s="1">
        <f t="shared" si="53"/>
        <v>0.14207650273224043</v>
      </c>
    </row>
    <row r="1107" spans="1:38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51"/>
        <v>365</v>
      </c>
      <c r="AK1107">
        <f t="shared" si="52"/>
        <v>52</v>
      </c>
      <c r="AL1107" s="1">
        <f t="shared" si="53"/>
        <v>0.14246575342465753</v>
      </c>
    </row>
    <row r="1108" spans="1:38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51"/>
        <v>364</v>
      </c>
      <c r="AK1108">
        <f t="shared" si="52"/>
        <v>52</v>
      </c>
      <c r="AL1108" s="1">
        <f t="shared" si="53"/>
        <v>0.14285714285714285</v>
      </c>
    </row>
    <row r="1109" spans="1:38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51"/>
        <v>363</v>
      </c>
      <c r="AK1109">
        <f t="shared" si="52"/>
        <v>51</v>
      </c>
      <c r="AL1109" s="1">
        <f t="shared" si="53"/>
        <v>0.14049586776859505</v>
      </c>
    </row>
    <row r="1110" spans="1:38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51"/>
        <v>362</v>
      </c>
      <c r="AK1110">
        <f t="shared" si="52"/>
        <v>51</v>
      </c>
      <c r="AL1110" s="1">
        <f t="shared" si="53"/>
        <v>0.14088397790055249</v>
      </c>
    </row>
    <row r="1111" spans="1:38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51"/>
        <v>361</v>
      </c>
      <c r="AK1111">
        <f t="shared" si="52"/>
        <v>51</v>
      </c>
      <c r="AL1111" s="1">
        <f t="shared" si="53"/>
        <v>0.14127423822714683</v>
      </c>
    </row>
    <row r="1112" spans="1:38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51"/>
        <v>360</v>
      </c>
      <c r="AK1112">
        <f t="shared" si="52"/>
        <v>51</v>
      </c>
      <c r="AL1112" s="1">
        <f t="shared" si="53"/>
        <v>0.14166666666666666</v>
      </c>
    </row>
    <row r="1113" spans="1:38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51"/>
        <v>359</v>
      </c>
      <c r="AK1113">
        <f t="shared" si="52"/>
        <v>50</v>
      </c>
      <c r="AL1113" s="1">
        <f t="shared" si="53"/>
        <v>0.1392757660167131</v>
      </c>
    </row>
    <row r="1114" spans="1:38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51"/>
        <v>358</v>
      </c>
      <c r="AK1114">
        <f t="shared" si="52"/>
        <v>49</v>
      </c>
      <c r="AL1114" s="1">
        <f t="shared" si="53"/>
        <v>0.13687150837988826</v>
      </c>
    </row>
    <row r="1115" spans="1:38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51"/>
        <v>357</v>
      </c>
      <c r="AK1115">
        <f t="shared" si="52"/>
        <v>48</v>
      </c>
      <c r="AL1115" s="1">
        <f t="shared" si="53"/>
        <v>0.13445378151260504</v>
      </c>
    </row>
    <row r="1116" spans="1:38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51"/>
        <v>356</v>
      </c>
      <c r="AK1116">
        <f t="shared" si="52"/>
        <v>48</v>
      </c>
      <c r="AL1116" s="1">
        <f t="shared" si="53"/>
        <v>0.1348314606741573</v>
      </c>
    </row>
    <row r="1117" spans="1:38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51"/>
        <v>355</v>
      </c>
      <c r="AK1117">
        <f t="shared" si="52"/>
        <v>48</v>
      </c>
      <c r="AL1117" s="1">
        <f t="shared" si="53"/>
        <v>0.13521126760563379</v>
      </c>
    </row>
    <row r="1118" spans="1:38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51"/>
        <v>354</v>
      </c>
      <c r="AK1118">
        <f t="shared" si="52"/>
        <v>48</v>
      </c>
      <c r="AL1118" s="1">
        <f t="shared" si="53"/>
        <v>0.13559322033898305</v>
      </c>
    </row>
    <row r="1119" spans="1:38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51"/>
        <v>353</v>
      </c>
      <c r="AK1119">
        <f t="shared" si="52"/>
        <v>48</v>
      </c>
      <c r="AL1119" s="1">
        <f t="shared" si="53"/>
        <v>0.1359773371104816</v>
      </c>
    </row>
    <row r="1120" spans="1:38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51"/>
        <v>352</v>
      </c>
      <c r="AK1120">
        <f t="shared" si="52"/>
        <v>48</v>
      </c>
      <c r="AL1120" s="1">
        <f t="shared" si="53"/>
        <v>0.13636363636363635</v>
      </c>
    </row>
    <row r="1121" spans="1:38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51"/>
        <v>351</v>
      </c>
      <c r="AK1121">
        <f t="shared" si="52"/>
        <v>48</v>
      </c>
      <c r="AL1121" s="1">
        <f t="shared" si="53"/>
        <v>0.13675213675213677</v>
      </c>
    </row>
    <row r="1122" spans="1:38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51"/>
        <v>350</v>
      </c>
      <c r="AK1122">
        <f t="shared" si="52"/>
        <v>48</v>
      </c>
      <c r="AL1122" s="1">
        <f t="shared" si="53"/>
        <v>0.13714285714285715</v>
      </c>
    </row>
    <row r="1123" spans="1:38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51"/>
        <v>349</v>
      </c>
      <c r="AK1123">
        <f t="shared" si="52"/>
        <v>48</v>
      </c>
      <c r="AL1123" s="1">
        <f t="shared" si="53"/>
        <v>0.13753581661891118</v>
      </c>
    </row>
    <row r="1124" spans="1:38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51"/>
        <v>348</v>
      </c>
      <c r="AK1124">
        <f t="shared" si="52"/>
        <v>48</v>
      </c>
      <c r="AL1124" s="1">
        <f t="shared" si="53"/>
        <v>0.13793103448275862</v>
      </c>
    </row>
    <row r="1125" spans="1:38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51"/>
        <v>347</v>
      </c>
      <c r="AK1125">
        <f t="shared" si="52"/>
        <v>48</v>
      </c>
      <c r="AL1125" s="1">
        <f t="shared" si="53"/>
        <v>0.13832853025936601</v>
      </c>
    </row>
    <row r="1126" spans="1:38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51"/>
        <v>346</v>
      </c>
      <c r="AK1126">
        <f t="shared" si="52"/>
        <v>48</v>
      </c>
      <c r="AL1126" s="1">
        <f t="shared" si="53"/>
        <v>0.13872832369942195</v>
      </c>
    </row>
    <row r="1127" spans="1:38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51"/>
        <v>345</v>
      </c>
      <c r="AK1127">
        <f t="shared" si="52"/>
        <v>48</v>
      </c>
      <c r="AL1127" s="1">
        <f t="shared" si="53"/>
        <v>0.1391304347826087</v>
      </c>
    </row>
    <row r="1128" spans="1:38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51"/>
        <v>344</v>
      </c>
      <c r="AK1128">
        <f t="shared" si="52"/>
        <v>48</v>
      </c>
      <c r="AL1128" s="1">
        <f t="shared" si="53"/>
        <v>0.13953488372093023</v>
      </c>
    </row>
    <row r="1129" spans="1:38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51"/>
        <v>343</v>
      </c>
      <c r="AK1129">
        <f t="shared" si="52"/>
        <v>48</v>
      </c>
      <c r="AL1129" s="1">
        <f t="shared" si="53"/>
        <v>0.13994169096209913</v>
      </c>
    </row>
    <row r="1130" spans="1:38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51"/>
        <v>342</v>
      </c>
      <c r="AK1130">
        <f t="shared" si="52"/>
        <v>48</v>
      </c>
      <c r="AL1130" s="1">
        <f t="shared" si="53"/>
        <v>0.14035087719298245</v>
      </c>
    </row>
    <row r="1131" spans="1:38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51"/>
        <v>341</v>
      </c>
      <c r="AK1131">
        <f t="shared" si="52"/>
        <v>48</v>
      </c>
      <c r="AL1131" s="1">
        <f t="shared" si="53"/>
        <v>0.14076246334310852</v>
      </c>
    </row>
    <row r="1132" spans="1:38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51"/>
        <v>340</v>
      </c>
      <c r="AK1132">
        <f t="shared" si="52"/>
        <v>48</v>
      </c>
      <c r="AL1132" s="1">
        <f t="shared" si="53"/>
        <v>0.14117647058823529</v>
      </c>
    </row>
    <row r="1133" spans="1:38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51"/>
        <v>339</v>
      </c>
      <c r="AK1133">
        <f t="shared" si="52"/>
        <v>48</v>
      </c>
      <c r="AL1133" s="1">
        <f t="shared" si="53"/>
        <v>0.1415929203539823</v>
      </c>
    </row>
    <row r="1134" spans="1:38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51"/>
        <v>338</v>
      </c>
      <c r="AK1134">
        <f t="shared" si="52"/>
        <v>48</v>
      </c>
      <c r="AL1134" s="1">
        <f t="shared" si="53"/>
        <v>0.14201183431952663</v>
      </c>
    </row>
    <row r="1135" spans="1:38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51"/>
        <v>337</v>
      </c>
      <c r="AK1135">
        <f t="shared" si="52"/>
        <v>48</v>
      </c>
      <c r="AL1135" s="1">
        <f t="shared" si="53"/>
        <v>0.14243323442136499</v>
      </c>
    </row>
    <row r="1136" spans="1:38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51"/>
        <v>336</v>
      </c>
      <c r="AK1136">
        <f t="shared" si="52"/>
        <v>48</v>
      </c>
      <c r="AL1136" s="1">
        <f t="shared" si="53"/>
        <v>0.14285714285714285</v>
      </c>
    </row>
    <row r="1137" spans="1:38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51"/>
        <v>335</v>
      </c>
      <c r="AK1137">
        <f t="shared" si="52"/>
        <v>48</v>
      </c>
      <c r="AL1137" s="1">
        <f t="shared" si="53"/>
        <v>0.14328358208955225</v>
      </c>
    </row>
    <row r="1138" spans="1:38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51"/>
        <v>334</v>
      </c>
      <c r="AK1138">
        <f t="shared" si="52"/>
        <v>48</v>
      </c>
      <c r="AL1138" s="1">
        <f t="shared" si="53"/>
        <v>0.1437125748502994</v>
      </c>
    </row>
    <row r="1139" spans="1:38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51"/>
        <v>333</v>
      </c>
      <c r="AK1139">
        <f t="shared" si="52"/>
        <v>47</v>
      </c>
      <c r="AL1139" s="1">
        <f t="shared" si="53"/>
        <v>0.14114114114114115</v>
      </c>
    </row>
    <row r="1140" spans="1:38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51"/>
        <v>332</v>
      </c>
      <c r="AK1140">
        <f t="shared" si="52"/>
        <v>47</v>
      </c>
      <c r="AL1140" s="1">
        <f t="shared" si="53"/>
        <v>0.14156626506024098</v>
      </c>
    </row>
    <row r="1141" spans="1:38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51"/>
        <v>331</v>
      </c>
      <c r="AK1141">
        <f t="shared" si="52"/>
        <v>47</v>
      </c>
      <c r="AL1141" s="1">
        <f t="shared" si="53"/>
        <v>0.1419939577039275</v>
      </c>
    </row>
    <row r="1142" spans="1:38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51"/>
        <v>330</v>
      </c>
      <c r="AK1142">
        <f t="shared" si="52"/>
        <v>47</v>
      </c>
      <c r="AL1142" s="1">
        <f t="shared" si="53"/>
        <v>0.14242424242424243</v>
      </c>
    </row>
    <row r="1143" spans="1:38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51"/>
        <v>329</v>
      </c>
      <c r="AK1143">
        <f t="shared" si="52"/>
        <v>47</v>
      </c>
      <c r="AL1143" s="1">
        <f t="shared" si="53"/>
        <v>0.14285714285714285</v>
      </c>
    </row>
    <row r="1144" spans="1:38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51"/>
        <v>328</v>
      </c>
      <c r="AK1144">
        <f t="shared" si="52"/>
        <v>47</v>
      </c>
      <c r="AL1144" s="1">
        <f t="shared" si="53"/>
        <v>0.14329268292682926</v>
      </c>
    </row>
    <row r="1145" spans="1:38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51"/>
        <v>327</v>
      </c>
      <c r="AK1145">
        <f t="shared" si="52"/>
        <v>47</v>
      </c>
      <c r="AL1145" s="1">
        <f t="shared" si="53"/>
        <v>0.14373088685015289</v>
      </c>
    </row>
    <row r="1146" spans="1:38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51"/>
        <v>326</v>
      </c>
      <c r="AK1146">
        <f t="shared" si="52"/>
        <v>47</v>
      </c>
      <c r="AL1146" s="1">
        <f t="shared" si="53"/>
        <v>0.14417177914110429</v>
      </c>
    </row>
    <row r="1147" spans="1:38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51"/>
        <v>325</v>
      </c>
      <c r="AK1147">
        <f t="shared" si="52"/>
        <v>47</v>
      </c>
      <c r="AL1147" s="1">
        <f t="shared" si="53"/>
        <v>0.14461538461538462</v>
      </c>
    </row>
    <row r="1148" spans="1:38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51"/>
        <v>324</v>
      </c>
      <c r="AK1148">
        <f t="shared" si="52"/>
        <v>47</v>
      </c>
      <c r="AL1148" s="1">
        <f t="shared" si="53"/>
        <v>0.14506172839506173</v>
      </c>
    </row>
    <row r="1149" spans="1:38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51"/>
        <v>323</v>
      </c>
      <c r="AK1149">
        <f t="shared" si="52"/>
        <v>47</v>
      </c>
      <c r="AL1149" s="1">
        <f t="shared" si="53"/>
        <v>0.14551083591331268</v>
      </c>
    </row>
    <row r="1150" spans="1:38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51"/>
        <v>322</v>
      </c>
      <c r="AK1150">
        <f t="shared" si="52"/>
        <v>47</v>
      </c>
      <c r="AL1150" s="1">
        <f t="shared" si="53"/>
        <v>0.14596273291925466</v>
      </c>
    </row>
    <row r="1151" spans="1:38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51"/>
        <v>321</v>
      </c>
      <c r="AK1151">
        <f t="shared" si="52"/>
        <v>47</v>
      </c>
      <c r="AL1151" s="1">
        <f t="shared" si="53"/>
        <v>0.14641744548286603</v>
      </c>
    </row>
    <row r="1152" spans="1:38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51"/>
        <v>320</v>
      </c>
      <c r="AK1152">
        <f t="shared" si="52"/>
        <v>47</v>
      </c>
      <c r="AL1152" s="1">
        <f t="shared" si="53"/>
        <v>0.14687500000000001</v>
      </c>
    </row>
    <row r="1153" spans="1:38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51"/>
        <v>319</v>
      </c>
      <c r="AK1153">
        <f t="shared" si="52"/>
        <v>47</v>
      </c>
      <c r="AL1153" s="1">
        <f t="shared" si="53"/>
        <v>0.14733542319749215</v>
      </c>
    </row>
    <row r="1154" spans="1:38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ref="AJ1154:AJ1217" si="54">COUNTA(A1154:A2623)</f>
        <v>318</v>
      </c>
      <c r="AK1154">
        <f t="shared" ref="AK1154:AK1217" si="55">COUNTIF(B1154:B2623, "Yes")</f>
        <v>47</v>
      </c>
      <c r="AL1154" s="1">
        <f t="shared" ref="AL1154:AL1217" si="56">COUNTIF(B1154:B2623, "Yes")/COUNTA(A1154:A2623)</f>
        <v>0.14779874213836477</v>
      </c>
    </row>
    <row r="1155" spans="1:38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si="54"/>
        <v>317</v>
      </c>
      <c r="AK1155">
        <f t="shared" si="55"/>
        <v>47</v>
      </c>
      <c r="AL1155" s="1">
        <f t="shared" si="56"/>
        <v>0.14826498422712933</v>
      </c>
    </row>
    <row r="1156" spans="1:38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54"/>
        <v>316</v>
      </c>
      <c r="AK1156">
        <f t="shared" si="55"/>
        <v>46</v>
      </c>
      <c r="AL1156" s="1">
        <f t="shared" si="56"/>
        <v>0.14556962025316456</v>
      </c>
    </row>
    <row r="1157" spans="1:38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54"/>
        <v>315</v>
      </c>
      <c r="AK1157">
        <f t="shared" si="55"/>
        <v>46</v>
      </c>
      <c r="AL1157" s="1">
        <f t="shared" si="56"/>
        <v>0.14603174603174604</v>
      </c>
    </row>
    <row r="1158" spans="1:38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54"/>
        <v>314</v>
      </c>
      <c r="AK1158">
        <f t="shared" si="55"/>
        <v>46</v>
      </c>
      <c r="AL1158" s="1">
        <f t="shared" si="56"/>
        <v>0.1464968152866242</v>
      </c>
    </row>
    <row r="1159" spans="1:38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54"/>
        <v>313</v>
      </c>
      <c r="AK1159">
        <f t="shared" si="55"/>
        <v>46</v>
      </c>
      <c r="AL1159" s="1">
        <f t="shared" si="56"/>
        <v>0.14696485623003194</v>
      </c>
    </row>
    <row r="1160" spans="1:38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54"/>
        <v>312</v>
      </c>
      <c r="AK1160">
        <f t="shared" si="55"/>
        <v>46</v>
      </c>
      <c r="AL1160" s="1">
        <f t="shared" si="56"/>
        <v>0.14743589743589744</v>
      </c>
    </row>
    <row r="1161" spans="1:38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54"/>
        <v>311</v>
      </c>
      <c r="AK1161">
        <f t="shared" si="55"/>
        <v>46</v>
      </c>
      <c r="AL1161" s="1">
        <f t="shared" si="56"/>
        <v>0.14790996784565916</v>
      </c>
    </row>
    <row r="1162" spans="1:38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54"/>
        <v>310</v>
      </c>
      <c r="AK1162">
        <f t="shared" si="55"/>
        <v>46</v>
      </c>
      <c r="AL1162" s="1">
        <f t="shared" si="56"/>
        <v>0.14838709677419354</v>
      </c>
    </row>
    <row r="1163" spans="1:38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54"/>
        <v>309</v>
      </c>
      <c r="AK1163">
        <f t="shared" si="55"/>
        <v>46</v>
      </c>
      <c r="AL1163" s="1">
        <f t="shared" si="56"/>
        <v>0.14886731391585761</v>
      </c>
    </row>
    <row r="1164" spans="1:38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54"/>
        <v>308</v>
      </c>
      <c r="AK1164">
        <f t="shared" si="55"/>
        <v>46</v>
      </c>
      <c r="AL1164" s="1">
        <f t="shared" si="56"/>
        <v>0.14935064935064934</v>
      </c>
    </row>
    <row r="1165" spans="1:38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54"/>
        <v>307</v>
      </c>
      <c r="AK1165">
        <f t="shared" si="55"/>
        <v>45</v>
      </c>
      <c r="AL1165" s="1">
        <f t="shared" si="56"/>
        <v>0.1465798045602606</v>
      </c>
    </row>
    <row r="1166" spans="1:38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54"/>
        <v>306</v>
      </c>
      <c r="AK1166">
        <f t="shared" si="55"/>
        <v>45</v>
      </c>
      <c r="AL1166" s="1">
        <f t="shared" si="56"/>
        <v>0.14705882352941177</v>
      </c>
    </row>
    <row r="1167" spans="1:38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54"/>
        <v>305</v>
      </c>
      <c r="AK1167">
        <f t="shared" si="55"/>
        <v>45</v>
      </c>
      <c r="AL1167" s="1">
        <f t="shared" si="56"/>
        <v>0.14754098360655737</v>
      </c>
    </row>
    <row r="1168" spans="1:38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54"/>
        <v>304</v>
      </c>
      <c r="AK1168">
        <f t="shared" si="55"/>
        <v>45</v>
      </c>
      <c r="AL1168" s="1">
        <f t="shared" si="56"/>
        <v>0.14802631578947367</v>
      </c>
    </row>
    <row r="1169" spans="1:38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54"/>
        <v>303</v>
      </c>
      <c r="AK1169">
        <f t="shared" si="55"/>
        <v>45</v>
      </c>
      <c r="AL1169" s="1">
        <f t="shared" si="56"/>
        <v>0.14851485148514851</v>
      </c>
    </row>
    <row r="1170" spans="1:38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54"/>
        <v>302</v>
      </c>
      <c r="AK1170">
        <f t="shared" si="55"/>
        <v>44</v>
      </c>
      <c r="AL1170" s="1">
        <f t="shared" si="56"/>
        <v>0.14569536423841059</v>
      </c>
    </row>
    <row r="1171" spans="1:38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54"/>
        <v>301</v>
      </c>
      <c r="AK1171">
        <f t="shared" si="55"/>
        <v>44</v>
      </c>
      <c r="AL1171" s="1">
        <f t="shared" si="56"/>
        <v>0.1461794019933555</v>
      </c>
    </row>
    <row r="1172" spans="1:38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54"/>
        <v>300</v>
      </c>
      <c r="AK1172">
        <f t="shared" si="55"/>
        <v>44</v>
      </c>
      <c r="AL1172" s="1">
        <f t="shared" si="56"/>
        <v>0.14666666666666667</v>
      </c>
    </row>
    <row r="1173" spans="1:38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54"/>
        <v>299</v>
      </c>
      <c r="AK1173">
        <f t="shared" si="55"/>
        <v>44</v>
      </c>
      <c r="AL1173" s="1">
        <f t="shared" si="56"/>
        <v>0.14715719063545152</v>
      </c>
    </row>
    <row r="1174" spans="1:38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54"/>
        <v>298</v>
      </c>
      <c r="AK1174">
        <f t="shared" si="55"/>
        <v>43</v>
      </c>
      <c r="AL1174" s="1">
        <f t="shared" si="56"/>
        <v>0.14429530201342283</v>
      </c>
    </row>
    <row r="1175" spans="1:38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54"/>
        <v>297</v>
      </c>
      <c r="AK1175">
        <f t="shared" si="55"/>
        <v>43</v>
      </c>
      <c r="AL1175" s="1">
        <f t="shared" si="56"/>
        <v>0.14478114478114479</v>
      </c>
    </row>
    <row r="1176" spans="1:38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54"/>
        <v>296</v>
      </c>
      <c r="AK1176">
        <f t="shared" si="55"/>
        <v>43</v>
      </c>
      <c r="AL1176" s="1">
        <f t="shared" si="56"/>
        <v>0.14527027027027026</v>
      </c>
    </row>
    <row r="1177" spans="1:38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54"/>
        <v>295</v>
      </c>
      <c r="AK1177">
        <f t="shared" si="55"/>
        <v>43</v>
      </c>
      <c r="AL1177" s="1">
        <f t="shared" si="56"/>
        <v>0.14576271186440679</v>
      </c>
    </row>
    <row r="1178" spans="1:38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54"/>
        <v>294</v>
      </c>
      <c r="AK1178">
        <f t="shared" si="55"/>
        <v>43</v>
      </c>
      <c r="AL1178" s="1">
        <f t="shared" si="56"/>
        <v>0.14625850340136054</v>
      </c>
    </row>
    <row r="1179" spans="1:38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54"/>
        <v>293</v>
      </c>
      <c r="AK1179">
        <f t="shared" si="55"/>
        <v>43</v>
      </c>
      <c r="AL1179" s="1">
        <f t="shared" si="56"/>
        <v>0.14675767918088736</v>
      </c>
    </row>
    <row r="1180" spans="1:38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54"/>
        <v>292</v>
      </c>
      <c r="AK1180">
        <f t="shared" si="55"/>
        <v>43</v>
      </c>
      <c r="AL1180" s="1">
        <f t="shared" si="56"/>
        <v>0.14726027397260275</v>
      </c>
    </row>
    <row r="1181" spans="1:38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54"/>
        <v>291</v>
      </c>
      <c r="AK1181">
        <f t="shared" si="55"/>
        <v>43</v>
      </c>
      <c r="AL1181" s="1">
        <f t="shared" si="56"/>
        <v>0.14776632302405499</v>
      </c>
    </row>
    <row r="1182" spans="1:38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54"/>
        <v>290</v>
      </c>
      <c r="AK1182">
        <f t="shared" si="55"/>
        <v>43</v>
      </c>
      <c r="AL1182" s="1">
        <f t="shared" si="56"/>
        <v>0.14827586206896551</v>
      </c>
    </row>
    <row r="1183" spans="1:38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54"/>
        <v>289</v>
      </c>
      <c r="AK1183">
        <f t="shared" si="55"/>
        <v>43</v>
      </c>
      <c r="AL1183" s="1">
        <f t="shared" si="56"/>
        <v>0.14878892733564014</v>
      </c>
    </row>
    <row r="1184" spans="1:38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54"/>
        <v>288</v>
      </c>
      <c r="AK1184">
        <f t="shared" si="55"/>
        <v>43</v>
      </c>
      <c r="AL1184" s="1">
        <f t="shared" si="56"/>
        <v>0.14930555555555555</v>
      </c>
    </row>
    <row r="1185" spans="1:38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54"/>
        <v>287</v>
      </c>
      <c r="AK1185">
        <f t="shared" si="55"/>
        <v>43</v>
      </c>
      <c r="AL1185" s="1">
        <f t="shared" si="56"/>
        <v>0.14982578397212543</v>
      </c>
    </row>
    <row r="1186" spans="1:38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54"/>
        <v>286</v>
      </c>
      <c r="AK1186">
        <f t="shared" si="55"/>
        <v>43</v>
      </c>
      <c r="AL1186" s="1">
        <f t="shared" si="56"/>
        <v>0.15034965034965034</v>
      </c>
    </row>
    <row r="1187" spans="1:38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54"/>
        <v>285</v>
      </c>
      <c r="AK1187">
        <f t="shared" si="55"/>
        <v>43</v>
      </c>
      <c r="AL1187" s="1">
        <f t="shared" si="56"/>
        <v>0.15087719298245614</v>
      </c>
    </row>
    <row r="1188" spans="1:38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54"/>
        <v>284</v>
      </c>
      <c r="AK1188">
        <f t="shared" si="55"/>
        <v>43</v>
      </c>
      <c r="AL1188" s="1">
        <f t="shared" si="56"/>
        <v>0.15140845070422534</v>
      </c>
    </row>
    <row r="1189" spans="1:38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54"/>
        <v>283</v>
      </c>
      <c r="AK1189">
        <f t="shared" si="55"/>
        <v>42</v>
      </c>
      <c r="AL1189" s="1">
        <f t="shared" si="56"/>
        <v>0.14840989399293286</v>
      </c>
    </row>
    <row r="1190" spans="1:38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54"/>
        <v>282</v>
      </c>
      <c r="AK1190">
        <f t="shared" si="55"/>
        <v>42</v>
      </c>
      <c r="AL1190" s="1">
        <f t="shared" si="56"/>
        <v>0.14893617021276595</v>
      </c>
    </row>
    <row r="1191" spans="1:38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54"/>
        <v>281</v>
      </c>
      <c r="AK1191">
        <f t="shared" si="55"/>
        <v>42</v>
      </c>
      <c r="AL1191" s="1">
        <f t="shared" si="56"/>
        <v>0.1494661921708185</v>
      </c>
    </row>
    <row r="1192" spans="1:38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54"/>
        <v>280</v>
      </c>
      <c r="AK1192">
        <f t="shared" si="55"/>
        <v>42</v>
      </c>
      <c r="AL1192" s="1">
        <f t="shared" si="56"/>
        <v>0.15</v>
      </c>
    </row>
    <row r="1193" spans="1:38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54"/>
        <v>279</v>
      </c>
      <c r="AK1193">
        <f t="shared" si="55"/>
        <v>42</v>
      </c>
      <c r="AL1193" s="1">
        <f t="shared" si="56"/>
        <v>0.15053763440860216</v>
      </c>
    </row>
    <row r="1194" spans="1:38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54"/>
        <v>278</v>
      </c>
      <c r="AK1194">
        <f t="shared" si="55"/>
        <v>42</v>
      </c>
      <c r="AL1194" s="1">
        <f t="shared" si="56"/>
        <v>0.15107913669064749</v>
      </c>
    </row>
    <row r="1195" spans="1:38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54"/>
        <v>277</v>
      </c>
      <c r="AK1195">
        <f t="shared" si="55"/>
        <v>42</v>
      </c>
      <c r="AL1195" s="1">
        <f t="shared" si="56"/>
        <v>0.15162454873646208</v>
      </c>
    </row>
    <row r="1196" spans="1:38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54"/>
        <v>276</v>
      </c>
      <c r="AK1196">
        <f t="shared" si="55"/>
        <v>42</v>
      </c>
      <c r="AL1196" s="1">
        <f t="shared" si="56"/>
        <v>0.15217391304347827</v>
      </c>
    </row>
    <row r="1197" spans="1:38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54"/>
        <v>275</v>
      </c>
      <c r="AK1197">
        <f t="shared" si="55"/>
        <v>42</v>
      </c>
      <c r="AL1197" s="1">
        <f t="shared" si="56"/>
        <v>0.15272727272727274</v>
      </c>
    </row>
    <row r="1198" spans="1:38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54"/>
        <v>274</v>
      </c>
      <c r="AK1198">
        <f t="shared" si="55"/>
        <v>42</v>
      </c>
      <c r="AL1198" s="1">
        <f t="shared" si="56"/>
        <v>0.15328467153284672</v>
      </c>
    </row>
    <row r="1199" spans="1:38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54"/>
        <v>273</v>
      </c>
      <c r="AK1199">
        <f t="shared" si="55"/>
        <v>42</v>
      </c>
      <c r="AL1199" s="1">
        <f t="shared" si="56"/>
        <v>0.15384615384615385</v>
      </c>
    </row>
    <row r="1200" spans="1:38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54"/>
        <v>272</v>
      </c>
      <c r="AK1200">
        <f t="shared" si="55"/>
        <v>42</v>
      </c>
      <c r="AL1200" s="1">
        <f t="shared" si="56"/>
        <v>0.15441176470588236</v>
      </c>
    </row>
    <row r="1201" spans="1:38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54"/>
        <v>271</v>
      </c>
      <c r="AK1201">
        <f t="shared" si="55"/>
        <v>42</v>
      </c>
      <c r="AL1201" s="1">
        <f t="shared" si="56"/>
        <v>0.15498154981549817</v>
      </c>
    </row>
    <row r="1202" spans="1:38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54"/>
        <v>270</v>
      </c>
      <c r="AK1202">
        <f t="shared" si="55"/>
        <v>42</v>
      </c>
      <c r="AL1202" s="1">
        <f t="shared" si="56"/>
        <v>0.15555555555555556</v>
      </c>
    </row>
    <row r="1203" spans="1:38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54"/>
        <v>269</v>
      </c>
      <c r="AK1203">
        <f t="shared" si="55"/>
        <v>42</v>
      </c>
      <c r="AL1203" s="1">
        <f t="shared" si="56"/>
        <v>0.15613382899628253</v>
      </c>
    </row>
    <row r="1204" spans="1:38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54"/>
        <v>268</v>
      </c>
      <c r="AK1204">
        <f t="shared" si="55"/>
        <v>41</v>
      </c>
      <c r="AL1204" s="1">
        <f t="shared" si="56"/>
        <v>0.15298507462686567</v>
      </c>
    </row>
    <row r="1205" spans="1:38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54"/>
        <v>267</v>
      </c>
      <c r="AK1205">
        <f t="shared" si="55"/>
        <v>41</v>
      </c>
      <c r="AL1205" s="1">
        <f t="shared" si="56"/>
        <v>0.15355805243445692</v>
      </c>
    </row>
    <row r="1206" spans="1:38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54"/>
        <v>266</v>
      </c>
      <c r="AK1206">
        <f t="shared" si="55"/>
        <v>41</v>
      </c>
      <c r="AL1206" s="1">
        <f t="shared" si="56"/>
        <v>0.15413533834586465</v>
      </c>
    </row>
    <row r="1207" spans="1:38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54"/>
        <v>265</v>
      </c>
      <c r="AK1207">
        <f t="shared" si="55"/>
        <v>40</v>
      </c>
      <c r="AL1207" s="1">
        <f t="shared" si="56"/>
        <v>0.15094339622641509</v>
      </c>
    </row>
    <row r="1208" spans="1:38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54"/>
        <v>264</v>
      </c>
      <c r="AK1208">
        <f t="shared" si="55"/>
        <v>39</v>
      </c>
      <c r="AL1208" s="1">
        <f t="shared" si="56"/>
        <v>0.14772727272727273</v>
      </c>
    </row>
    <row r="1209" spans="1:38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54"/>
        <v>263</v>
      </c>
      <c r="AK1209">
        <f t="shared" si="55"/>
        <v>39</v>
      </c>
      <c r="AL1209" s="1">
        <f t="shared" si="56"/>
        <v>0.14828897338403041</v>
      </c>
    </row>
    <row r="1210" spans="1:38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54"/>
        <v>262</v>
      </c>
      <c r="AK1210">
        <f t="shared" si="55"/>
        <v>39</v>
      </c>
      <c r="AL1210" s="1">
        <f t="shared" si="56"/>
        <v>0.14885496183206107</v>
      </c>
    </row>
    <row r="1211" spans="1:38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54"/>
        <v>261</v>
      </c>
      <c r="AK1211">
        <f t="shared" si="55"/>
        <v>39</v>
      </c>
      <c r="AL1211" s="1">
        <f t="shared" si="56"/>
        <v>0.14942528735632185</v>
      </c>
    </row>
    <row r="1212" spans="1:38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54"/>
        <v>260</v>
      </c>
      <c r="AK1212">
        <f t="shared" si="55"/>
        <v>39</v>
      </c>
      <c r="AL1212" s="1">
        <f t="shared" si="56"/>
        <v>0.15</v>
      </c>
    </row>
    <row r="1213" spans="1:38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54"/>
        <v>259</v>
      </c>
      <c r="AK1213">
        <f t="shared" si="55"/>
        <v>39</v>
      </c>
      <c r="AL1213" s="1">
        <f t="shared" si="56"/>
        <v>0.15057915057915058</v>
      </c>
    </row>
    <row r="1214" spans="1:38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54"/>
        <v>258</v>
      </c>
      <c r="AK1214">
        <f t="shared" si="55"/>
        <v>39</v>
      </c>
      <c r="AL1214" s="1">
        <f t="shared" si="56"/>
        <v>0.15116279069767441</v>
      </c>
    </row>
    <row r="1215" spans="1:38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54"/>
        <v>257</v>
      </c>
      <c r="AK1215">
        <f t="shared" si="55"/>
        <v>39</v>
      </c>
      <c r="AL1215" s="1">
        <f t="shared" si="56"/>
        <v>0.1517509727626459</v>
      </c>
    </row>
    <row r="1216" spans="1:38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54"/>
        <v>256</v>
      </c>
      <c r="AK1216">
        <f t="shared" si="55"/>
        <v>38</v>
      </c>
      <c r="AL1216" s="1">
        <f t="shared" si="56"/>
        <v>0.1484375</v>
      </c>
    </row>
    <row r="1217" spans="1:38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54"/>
        <v>255</v>
      </c>
      <c r="AK1217">
        <f t="shared" si="55"/>
        <v>38</v>
      </c>
      <c r="AL1217" s="1">
        <f t="shared" si="56"/>
        <v>0.14901960784313725</v>
      </c>
    </row>
    <row r="1218" spans="1:38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ref="AJ1218:AJ1281" si="57">COUNTA(A1218:A2687)</f>
        <v>254</v>
      </c>
      <c r="AK1218">
        <f t="shared" ref="AK1218:AK1281" si="58">COUNTIF(B1218:B2687, "Yes")</f>
        <v>38</v>
      </c>
      <c r="AL1218" s="1">
        <f t="shared" ref="AL1218:AL1281" si="59">COUNTIF(B1218:B2687, "Yes")/COUNTA(A1218:A2687)</f>
        <v>0.14960629921259844</v>
      </c>
    </row>
    <row r="1219" spans="1:38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si="57"/>
        <v>253</v>
      </c>
      <c r="AK1219">
        <f t="shared" si="58"/>
        <v>38</v>
      </c>
      <c r="AL1219" s="1">
        <f t="shared" si="59"/>
        <v>0.15019762845849802</v>
      </c>
    </row>
    <row r="1220" spans="1:38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57"/>
        <v>252</v>
      </c>
      <c r="AK1220">
        <f t="shared" si="58"/>
        <v>38</v>
      </c>
      <c r="AL1220" s="1">
        <f t="shared" si="59"/>
        <v>0.15079365079365079</v>
      </c>
    </row>
    <row r="1221" spans="1:38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57"/>
        <v>251</v>
      </c>
      <c r="AK1221">
        <f t="shared" si="58"/>
        <v>38</v>
      </c>
      <c r="AL1221" s="1">
        <f t="shared" si="59"/>
        <v>0.15139442231075698</v>
      </c>
    </row>
    <row r="1222" spans="1:38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57"/>
        <v>250</v>
      </c>
      <c r="AK1222">
        <f t="shared" si="58"/>
        <v>38</v>
      </c>
      <c r="AL1222" s="1">
        <f t="shared" si="59"/>
        <v>0.152</v>
      </c>
    </row>
    <row r="1223" spans="1:38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57"/>
        <v>249</v>
      </c>
      <c r="AK1223">
        <f t="shared" si="58"/>
        <v>38</v>
      </c>
      <c r="AL1223" s="1">
        <f t="shared" si="59"/>
        <v>0.15261044176706828</v>
      </c>
    </row>
    <row r="1224" spans="1:38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57"/>
        <v>248</v>
      </c>
      <c r="AK1224">
        <f t="shared" si="58"/>
        <v>38</v>
      </c>
      <c r="AL1224" s="1">
        <f t="shared" si="59"/>
        <v>0.15322580645161291</v>
      </c>
    </row>
    <row r="1225" spans="1:38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57"/>
        <v>247</v>
      </c>
      <c r="AK1225">
        <f t="shared" si="58"/>
        <v>37</v>
      </c>
      <c r="AL1225" s="1">
        <f t="shared" si="59"/>
        <v>0.14979757085020243</v>
      </c>
    </row>
    <row r="1226" spans="1:38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57"/>
        <v>246</v>
      </c>
      <c r="AK1226">
        <f t="shared" si="58"/>
        <v>36</v>
      </c>
      <c r="AL1226" s="1">
        <f t="shared" si="59"/>
        <v>0.14634146341463414</v>
      </c>
    </row>
    <row r="1227" spans="1:38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57"/>
        <v>245</v>
      </c>
      <c r="AK1227">
        <f t="shared" si="58"/>
        <v>36</v>
      </c>
      <c r="AL1227" s="1">
        <f t="shared" si="59"/>
        <v>0.14693877551020409</v>
      </c>
    </row>
    <row r="1228" spans="1:38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57"/>
        <v>244</v>
      </c>
      <c r="AK1228">
        <f t="shared" si="58"/>
        <v>36</v>
      </c>
      <c r="AL1228" s="1">
        <f t="shared" si="59"/>
        <v>0.14754098360655737</v>
      </c>
    </row>
    <row r="1229" spans="1:38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57"/>
        <v>243</v>
      </c>
      <c r="AK1229">
        <f t="shared" si="58"/>
        <v>36</v>
      </c>
      <c r="AL1229" s="1">
        <f t="shared" si="59"/>
        <v>0.14814814814814814</v>
      </c>
    </row>
    <row r="1230" spans="1:38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57"/>
        <v>242</v>
      </c>
      <c r="AK1230">
        <f t="shared" si="58"/>
        <v>36</v>
      </c>
      <c r="AL1230" s="1">
        <f t="shared" si="59"/>
        <v>0.1487603305785124</v>
      </c>
    </row>
    <row r="1231" spans="1:38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57"/>
        <v>241</v>
      </c>
      <c r="AK1231">
        <f t="shared" si="58"/>
        <v>36</v>
      </c>
      <c r="AL1231" s="1">
        <f t="shared" si="59"/>
        <v>0.14937759336099585</v>
      </c>
    </row>
    <row r="1232" spans="1:38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57"/>
        <v>240</v>
      </c>
      <c r="AK1232">
        <f t="shared" si="58"/>
        <v>36</v>
      </c>
      <c r="AL1232" s="1">
        <f t="shared" si="59"/>
        <v>0.15</v>
      </c>
    </row>
    <row r="1233" spans="1:38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57"/>
        <v>239</v>
      </c>
      <c r="AK1233">
        <f t="shared" si="58"/>
        <v>36</v>
      </c>
      <c r="AL1233" s="1">
        <f t="shared" si="59"/>
        <v>0.15062761506276151</v>
      </c>
    </row>
    <row r="1234" spans="1:38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57"/>
        <v>238</v>
      </c>
      <c r="AK1234">
        <f t="shared" si="58"/>
        <v>36</v>
      </c>
      <c r="AL1234" s="1">
        <f t="shared" si="59"/>
        <v>0.15126050420168066</v>
      </c>
    </row>
    <row r="1235" spans="1:38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57"/>
        <v>237</v>
      </c>
      <c r="AK1235">
        <f t="shared" si="58"/>
        <v>36</v>
      </c>
      <c r="AL1235" s="1">
        <f t="shared" si="59"/>
        <v>0.15189873417721519</v>
      </c>
    </row>
    <row r="1236" spans="1:38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57"/>
        <v>236</v>
      </c>
      <c r="AK1236">
        <f t="shared" si="58"/>
        <v>36</v>
      </c>
      <c r="AL1236" s="1">
        <f t="shared" si="59"/>
        <v>0.15254237288135594</v>
      </c>
    </row>
    <row r="1237" spans="1:38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57"/>
        <v>235</v>
      </c>
      <c r="AK1237">
        <f t="shared" si="58"/>
        <v>36</v>
      </c>
      <c r="AL1237" s="1">
        <f t="shared" si="59"/>
        <v>0.15319148936170213</v>
      </c>
    </row>
    <row r="1238" spans="1:38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57"/>
        <v>234</v>
      </c>
      <c r="AK1238">
        <f t="shared" si="58"/>
        <v>36</v>
      </c>
      <c r="AL1238" s="1">
        <f t="shared" si="59"/>
        <v>0.15384615384615385</v>
      </c>
    </row>
    <row r="1239" spans="1:38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57"/>
        <v>233</v>
      </c>
      <c r="AK1239">
        <f t="shared" si="58"/>
        <v>35</v>
      </c>
      <c r="AL1239" s="1">
        <f t="shared" si="59"/>
        <v>0.15021459227467812</v>
      </c>
    </row>
    <row r="1240" spans="1:38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57"/>
        <v>232</v>
      </c>
      <c r="AK1240">
        <f t="shared" si="58"/>
        <v>34</v>
      </c>
      <c r="AL1240" s="1">
        <f t="shared" si="59"/>
        <v>0.14655172413793102</v>
      </c>
    </row>
    <row r="1241" spans="1:38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57"/>
        <v>231</v>
      </c>
      <c r="AK1241">
        <f t="shared" si="58"/>
        <v>34</v>
      </c>
      <c r="AL1241" s="1">
        <f t="shared" si="59"/>
        <v>0.1471861471861472</v>
      </c>
    </row>
    <row r="1242" spans="1:38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57"/>
        <v>230</v>
      </c>
      <c r="AK1242">
        <f t="shared" si="58"/>
        <v>34</v>
      </c>
      <c r="AL1242" s="1">
        <f t="shared" si="59"/>
        <v>0.14782608695652175</v>
      </c>
    </row>
    <row r="1243" spans="1:38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57"/>
        <v>229</v>
      </c>
      <c r="AK1243">
        <f t="shared" si="58"/>
        <v>34</v>
      </c>
      <c r="AL1243" s="1">
        <f t="shared" si="59"/>
        <v>0.14847161572052403</v>
      </c>
    </row>
    <row r="1244" spans="1:38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57"/>
        <v>228</v>
      </c>
      <c r="AK1244">
        <f t="shared" si="58"/>
        <v>34</v>
      </c>
      <c r="AL1244" s="1">
        <f t="shared" si="59"/>
        <v>0.14912280701754385</v>
      </c>
    </row>
    <row r="1245" spans="1:38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57"/>
        <v>227</v>
      </c>
      <c r="AK1245">
        <f t="shared" si="58"/>
        <v>34</v>
      </c>
      <c r="AL1245" s="1">
        <f t="shared" si="59"/>
        <v>0.14977973568281938</v>
      </c>
    </row>
    <row r="1246" spans="1:38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57"/>
        <v>226</v>
      </c>
      <c r="AK1246">
        <f t="shared" si="58"/>
        <v>34</v>
      </c>
      <c r="AL1246" s="1">
        <f t="shared" si="59"/>
        <v>0.15044247787610621</v>
      </c>
    </row>
    <row r="1247" spans="1:38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57"/>
        <v>225</v>
      </c>
      <c r="AK1247">
        <f t="shared" si="58"/>
        <v>34</v>
      </c>
      <c r="AL1247" s="1">
        <f t="shared" si="59"/>
        <v>0.15111111111111111</v>
      </c>
    </row>
    <row r="1248" spans="1:38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57"/>
        <v>224</v>
      </c>
      <c r="AK1248">
        <f t="shared" si="58"/>
        <v>34</v>
      </c>
      <c r="AL1248" s="1">
        <f t="shared" si="59"/>
        <v>0.15178571428571427</v>
      </c>
    </row>
    <row r="1249" spans="1:38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57"/>
        <v>223</v>
      </c>
      <c r="AK1249">
        <f t="shared" si="58"/>
        <v>33</v>
      </c>
      <c r="AL1249" s="1">
        <f t="shared" si="59"/>
        <v>0.14798206278026907</v>
      </c>
    </row>
    <row r="1250" spans="1:38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57"/>
        <v>222</v>
      </c>
      <c r="AK1250">
        <f t="shared" si="58"/>
        <v>33</v>
      </c>
      <c r="AL1250" s="1">
        <f t="shared" si="59"/>
        <v>0.14864864864864866</v>
      </c>
    </row>
    <row r="1251" spans="1:38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57"/>
        <v>221</v>
      </c>
      <c r="AK1251">
        <f t="shared" si="58"/>
        <v>33</v>
      </c>
      <c r="AL1251" s="1">
        <f t="shared" si="59"/>
        <v>0.14932126696832579</v>
      </c>
    </row>
    <row r="1252" spans="1:38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57"/>
        <v>220</v>
      </c>
      <c r="AK1252">
        <f t="shared" si="58"/>
        <v>32</v>
      </c>
      <c r="AL1252" s="1">
        <f t="shared" si="59"/>
        <v>0.14545454545454545</v>
      </c>
    </row>
    <row r="1253" spans="1:38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57"/>
        <v>219</v>
      </c>
      <c r="AK1253">
        <f t="shared" si="58"/>
        <v>32</v>
      </c>
      <c r="AL1253" s="1">
        <f t="shared" si="59"/>
        <v>0.14611872146118721</v>
      </c>
    </row>
    <row r="1254" spans="1:38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57"/>
        <v>218</v>
      </c>
      <c r="AK1254">
        <f t="shared" si="58"/>
        <v>32</v>
      </c>
      <c r="AL1254" s="1">
        <f t="shared" si="59"/>
        <v>0.14678899082568808</v>
      </c>
    </row>
    <row r="1255" spans="1:38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57"/>
        <v>217</v>
      </c>
      <c r="AK1255">
        <f t="shared" si="58"/>
        <v>32</v>
      </c>
      <c r="AL1255" s="1">
        <f t="shared" si="59"/>
        <v>0.14746543778801843</v>
      </c>
    </row>
    <row r="1256" spans="1:38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57"/>
        <v>216</v>
      </c>
      <c r="AK1256">
        <f t="shared" si="58"/>
        <v>32</v>
      </c>
      <c r="AL1256" s="1">
        <f t="shared" si="59"/>
        <v>0.14814814814814814</v>
      </c>
    </row>
    <row r="1257" spans="1:38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57"/>
        <v>215</v>
      </c>
      <c r="AK1257">
        <f t="shared" si="58"/>
        <v>32</v>
      </c>
      <c r="AL1257" s="1">
        <f t="shared" si="59"/>
        <v>0.14883720930232558</v>
      </c>
    </row>
    <row r="1258" spans="1:38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57"/>
        <v>214</v>
      </c>
      <c r="AK1258">
        <f t="shared" si="58"/>
        <v>31</v>
      </c>
      <c r="AL1258" s="1">
        <f t="shared" si="59"/>
        <v>0.14485981308411214</v>
      </c>
    </row>
    <row r="1259" spans="1:38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57"/>
        <v>213</v>
      </c>
      <c r="AK1259">
        <f t="shared" si="58"/>
        <v>31</v>
      </c>
      <c r="AL1259" s="1">
        <f t="shared" si="59"/>
        <v>0.14553990610328638</v>
      </c>
    </row>
    <row r="1260" spans="1:38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57"/>
        <v>212</v>
      </c>
      <c r="AK1260">
        <f t="shared" si="58"/>
        <v>30</v>
      </c>
      <c r="AL1260" s="1">
        <f t="shared" si="59"/>
        <v>0.14150943396226415</v>
      </c>
    </row>
    <row r="1261" spans="1:38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57"/>
        <v>211</v>
      </c>
      <c r="AK1261">
        <f t="shared" si="58"/>
        <v>30</v>
      </c>
      <c r="AL1261" s="1">
        <f t="shared" si="59"/>
        <v>0.14218009478672985</v>
      </c>
    </row>
    <row r="1262" spans="1:38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57"/>
        <v>210</v>
      </c>
      <c r="AK1262">
        <f t="shared" si="58"/>
        <v>30</v>
      </c>
      <c r="AL1262" s="1">
        <f t="shared" si="59"/>
        <v>0.14285714285714285</v>
      </c>
    </row>
    <row r="1263" spans="1:38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57"/>
        <v>209</v>
      </c>
      <c r="AK1263">
        <f t="shared" si="58"/>
        <v>30</v>
      </c>
      <c r="AL1263" s="1">
        <f t="shared" si="59"/>
        <v>0.14354066985645933</v>
      </c>
    </row>
    <row r="1264" spans="1:38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57"/>
        <v>208</v>
      </c>
      <c r="AK1264">
        <f t="shared" si="58"/>
        <v>30</v>
      </c>
      <c r="AL1264" s="1">
        <f t="shared" si="59"/>
        <v>0.14423076923076922</v>
      </c>
    </row>
    <row r="1265" spans="1:38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57"/>
        <v>207</v>
      </c>
      <c r="AK1265">
        <f t="shared" si="58"/>
        <v>29</v>
      </c>
      <c r="AL1265" s="1">
        <f t="shared" si="59"/>
        <v>0.14009661835748793</v>
      </c>
    </row>
    <row r="1266" spans="1:38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57"/>
        <v>206</v>
      </c>
      <c r="AK1266">
        <f t="shared" si="58"/>
        <v>29</v>
      </c>
      <c r="AL1266" s="1">
        <f t="shared" si="59"/>
        <v>0.14077669902912621</v>
      </c>
    </row>
    <row r="1267" spans="1:38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57"/>
        <v>205</v>
      </c>
      <c r="AK1267">
        <f t="shared" si="58"/>
        <v>29</v>
      </c>
      <c r="AL1267" s="1">
        <f t="shared" si="59"/>
        <v>0.14146341463414633</v>
      </c>
    </row>
    <row r="1268" spans="1:38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57"/>
        <v>204</v>
      </c>
      <c r="AK1268">
        <f t="shared" si="58"/>
        <v>29</v>
      </c>
      <c r="AL1268" s="1">
        <f t="shared" si="59"/>
        <v>0.14215686274509803</v>
      </c>
    </row>
    <row r="1269" spans="1:38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57"/>
        <v>203</v>
      </c>
      <c r="AK1269">
        <f t="shared" si="58"/>
        <v>29</v>
      </c>
      <c r="AL1269" s="1">
        <f t="shared" si="59"/>
        <v>0.14285714285714285</v>
      </c>
    </row>
    <row r="1270" spans="1:38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57"/>
        <v>202</v>
      </c>
      <c r="AK1270">
        <f t="shared" si="58"/>
        <v>29</v>
      </c>
      <c r="AL1270" s="1">
        <f t="shared" si="59"/>
        <v>0.14356435643564355</v>
      </c>
    </row>
    <row r="1271" spans="1:38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57"/>
        <v>201</v>
      </c>
      <c r="AK1271">
        <f t="shared" si="58"/>
        <v>29</v>
      </c>
      <c r="AL1271" s="1">
        <f t="shared" si="59"/>
        <v>0.14427860696517414</v>
      </c>
    </row>
    <row r="1272" spans="1:38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57"/>
        <v>200</v>
      </c>
      <c r="AK1272">
        <f t="shared" si="58"/>
        <v>29</v>
      </c>
      <c r="AL1272" s="1">
        <f t="shared" si="59"/>
        <v>0.14499999999999999</v>
      </c>
    </row>
    <row r="1273" spans="1:38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57"/>
        <v>199</v>
      </c>
      <c r="AK1273">
        <f t="shared" si="58"/>
        <v>29</v>
      </c>
      <c r="AL1273" s="1">
        <f t="shared" si="59"/>
        <v>0.14572864321608039</v>
      </c>
    </row>
    <row r="1274" spans="1:38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57"/>
        <v>198</v>
      </c>
      <c r="AK1274">
        <f t="shared" si="58"/>
        <v>28</v>
      </c>
      <c r="AL1274" s="1">
        <f t="shared" si="59"/>
        <v>0.14141414141414141</v>
      </c>
    </row>
    <row r="1275" spans="1:38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57"/>
        <v>197</v>
      </c>
      <c r="AK1275">
        <f t="shared" si="58"/>
        <v>28</v>
      </c>
      <c r="AL1275" s="1">
        <f t="shared" si="59"/>
        <v>0.14213197969543148</v>
      </c>
    </row>
    <row r="1276" spans="1:38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57"/>
        <v>196</v>
      </c>
      <c r="AK1276">
        <f t="shared" si="58"/>
        <v>27</v>
      </c>
      <c r="AL1276" s="1">
        <f t="shared" si="59"/>
        <v>0.13775510204081631</v>
      </c>
    </row>
    <row r="1277" spans="1:38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57"/>
        <v>195</v>
      </c>
      <c r="AK1277">
        <f t="shared" si="58"/>
        <v>27</v>
      </c>
      <c r="AL1277" s="1">
        <f t="shared" si="59"/>
        <v>0.13846153846153847</v>
      </c>
    </row>
    <row r="1278" spans="1:38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57"/>
        <v>194</v>
      </c>
      <c r="AK1278">
        <f t="shared" si="58"/>
        <v>27</v>
      </c>
      <c r="AL1278" s="1">
        <f t="shared" si="59"/>
        <v>0.13917525773195877</v>
      </c>
    </row>
    <row r="1279" spans="1:38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57"/>
        <v>193</v>
      </c>
      <c r="AK1279">
        <f t="shared" si="58"/>
        <v>27</v>
      </c>
      <c r="AL1279" s="1">
        <f t="shared" si="59"/>
        <v>0.13989637305699482</v>
      </c>
    </row>
    <row r="1280" spans="1:38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57"/>
        <v>192</v>
      </c>
      <c r="AK1280">
        <f t="shared" si="58"/>
        <v>27</v>
      </c>
      <c r="AL1280" s="1">
        <f t="shared" si="59"/>
        <v>0.140625</v>
      </c>
    </row>
    <row r="1281" spans="1:38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57"/>
        <v>191</v>
      </c>
      <c r="AK1281">
        <f t="shared" si="58"/>
        <v>27</v>
      </c>
      <c r="AL1281" s="1">
        <f t="shared" si="59"/>
        <v>0.14136125654450263</v>
      </c>
    </row>
    <row r="1282" spans="1:38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ref="AJ1282:AJ1345" si="60">COUNTA(A1282:A2751)</f>
        <v>190</v>
      </c>
      <c r="AK1282">
        <f t="shared" ref="AK1282:AK1345" si="61">COUNTIF(B1282:B2751, "Yes")</f>
        <v>26</v>
      </c>
      <c r="AL1282" s="1">
        <f t="shared" ref="AL1282:AL1345" si="62">COUNTIF(B1282:B2751, "Yes")/COUNTA(A1282:A2751)</f>
        <v>0.1368421052631579</v>
      </c>
    </row>
    <row r="1283" spans="1:38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si="60"/>
        <v>189</v>
      </c>
      <c r="AK1283">
        <f t="shared" si="61"/>
        <v>26</v>
      </c>
      <c r="AL1283" s="1">
        <f t="shared" si="62"/>
        <v>0.13756613756613756</v>
      </c>
    </row>
    <row r="1284" spans="1:38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60"/>
        <v>188</v>
      </c>
      <c r="AK1284">
        <f t="shared" si="61"/>
        <v>25</v>
      </c>
      <c r="AL1284" s="1">
        <f t="shared" si="62"/>
        <v>0.13297872340425532</v>
      </c>
    </row>
    <row r="1285" spans="1:38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60"/>
        <v>187</v>
      </c>
      <c r="AK1285">
        <f t="shared" si="61"/>
        <v>25</v>
      </c>
      <c r="AL1285" s="1">
        <f t="shared" si="62"/>
        <v>0.13368983957219252</v>
      </c>
    </row>
    <row r="1286" spans="1:38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60"/>
        <v>186</v>
      </c>
      <c r="AK1286">
        <f t="shared" si="61"/>
        <v>25</v>
      </c>
      <c r="AL1286" s="1">
        <f t="shared" si="62"/>
        <v>0.13440860215053763</v>
      </c>
    </row>
    <row r="1287" spans="1:38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60"/>
        <v>185</v>
      </c>
      <c r="AK1287">
        <f t="shared" si="61"/>
        <v>25</v>
      </c>
      <c r="AL1287" s="1">
        <f t="shared" si="62"/>
        <v>0.13513513513513514</v>
      </c>
    </row>
    <row r="1288" spans="1:38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60"/>
        <v>184</v>
      </c>
      <c r="AK1288">
        <f t="shared" si="61"/>
        <v>25</v>
      </c>
      <c r="AL1288" s="1">
        <f t="shared" si="62"/>
        <v>0.1358695652173913</v>
      </c>
    </row>
    <row r="1289" spans="1:38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60"/>
        <v>183</v>
      </c>
      <c r="AK1289">
        <f t="shared" si="61"/>
        <v>25</v>
      </c>
      <c r="AL1289" s="1">
        <f t="shared" si="62"/>
        <v>0.13661202185792351</v>
      </c>
    </row>
    <row r="1290" spans="1:38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60"/>
        <v>182</v>
      </c>
      <c r="AK1290">
        <f t="shared" si="61"/>
        <v>25</v>
      </c>
      <c r="AL1290" s="1">
        <f t="shared" si="62"/>
        <v>0.13736263736263737</v>
      </c>
    </row>
    <row r="1291" spans="1:38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60"/>
        <v>181</v>
      </c>
      <c r="AK1291">
        <f t="shared" si="61"/>
        <v>25</v>
      </c>
      <c r="AL1291" s="1">
        <f t="shared" si="62"/>
        <v>0.13812154696132597</v>
      </c>
    </row>
    <row r="1292" spans="1:38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60"/>
        <v>180</v>
      </c>
      <c r="AK1292">
        <f t="shared" si="61"/>
        <v>25</v>
      </c>
      <c r="AL1292" s="1">
        <f t="shared" si="62"/>
        <v>0.1388888888888889</v>
      </c>
    </row>
    <row r="1293" spans="1:38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60"/>
        <v>179</v>
      </c>
      <c r="AK1293">
        <f t="shared" si="61"/>
        <v>24</v>
      </c>
      <c r="AL1293" s="1">
        <f t="shared" si="62"/>
        <v>0.13407821229050279</v>
      </c>
    </row>
    <row r="1294" spans="1:38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60"/>
        <v>178</v>
      </c>
      <c r="AK1294">
        <f t="shared" si="61"/>
        <v>23</v>
      </c>
      <c r="AL1294" s="1">
        <f t="shared" si="62"/>
        <v>0.12921348314606743</v>
      </c>
    </row>
    <row r="1295" spans="1:38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60"/>
        <v>177</v>
      </c>
      <c r="AK1295">
        <f t="shared" si="61"/>
        <v>23</v>
      </c>
      <c r="AL1295" s="1">
        <f t="shared" si="62"/>
        <v>0.12994350282485875</v>
      </c>
    </row>
    <row r="1296" spans="1:38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60"/>
        <v>176</v>
      </c>
      <c r="AK1296">
        <f t="shared" si="61"/>
        <v>23</v>
      </c>
      <c r="AL1296" s="1">
        <f t="shared" si="62"/>
        <v>0.13068181818181818</v>
      </c>
    </row>
    <row r="1297" spans="1:38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60"/>
        <v>175</v>
      </c>
      <c r="AK1297">
        <f t="shared" si="61"/>
        <v>23</v>
      </c>
      <c r="AL1297" s="1">
        <f t="shared" si="62"/>
        <v>0.13142857142857142</v>
      </c>
    </row>
    <row r="1298" spans="1:38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60"/>
        <v>174</v>
      </c>
      <c r="AK1298">
        <f t="shared" si="61"/>
        <v>23</v>
      </c>
      <c r="AL1298" s="1">
        <f t="shared" si="62"/>
        <v>0.13218390804597702</v>
      </c>
    </row>
    <row r="1299" spans="1:38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60"/>
        <v>173</v>
      </c>
      <c r="AK1299">
        <f t="shared" si="61"/>
        <v>23</v>
      </c>
      <c r="AL1299" s="1">
        <f t="shared" si="62"/>
        <v>0.13294797687861271</v>
      </c>
    </row>
    <row r="1300" spans="1:38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60"/>
        <v>172</v>
      </c>
      <c r="AK1300">
        <f t="shared" si="61"/>
        <v>22</v>
      </c>
      <c r="AL1300" s="1">
        <f t="shared" si="62"/>
        <v>0.12790697674418605</v>
      </c>
    </row>
    <row r="1301" spans="1:38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60"/>
        <v>171</v>
      </c>
      <c r="AK1301">
        <f t="shared" si="61"/>
        <v>21</v>
      </c>
      <c r="AL1301" s="1">
        <f t="shared" si="62"/>
        <v>0.12280701754385964</v>
      </c>
    </row>
    <row r="1302" spans="1:38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60"/>
        <v>170</v>
      </c>
      <c r="AK1302">
        <f t="shared" si="61"/>
        <v>21</v>
      </c>
      <c r="AL1302" s="1">
        <f t="shared" si="62"/>
        <v>0.12352941176470589</v>
      </c>
    </row>
    <row r="1303" spans="1:38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60"/>
        <v>169</v>
      </c>
      <c r="AK1303">
        <f t="shared" si="61"/>
        <v>21</v>
      </c>
      <c r="AL1303" s="1">
        <f t="shared" si="62"/>
        <v>0.1242603550295858</v>
      </c>
    </row>
    <row r="1304" spans="1:38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60"/>
        <v>168</v>
      </c>
      <c r="AK1304">
        <f t="shared" si="61"/>
        <v>21</v>
      </c>
      <c r="AL1304" s="1">
        <f t="shared" si="62"/>
        <v>0.125</v>
      </c>
    </row>
    <row r="1305" spans="1:38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60"/>
        <v>167</v>
      </c>
      <c r="AK1305">
        <f t="shared" si="61"/>
        <v>21</v>
      </c>
      <c r="AL1305" s="1">
        <f t="shared" si="62"/>
        <v>0.12574850299401197</v>
      </c>
    </row>
    <row r="1306" spans="1:38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60"/>
        <v>166</v>
      </c>
      <c r="AK1306">
        <f t="shared" si="61"/>
        <v>21</v>
      </c>
      <c r="AL1306" s="1">
        <f t="shared" si="62"/>
        <v>0.12650602409638553</v>
      </c>
    </row>
    <row r="1307" spans="1:38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60"/>
        <v>165</v>
      </c>
      <c r="AK1307">
        <f t="shared" si="61"/>
        <v>21</v>
      </c>
      <c r="AL1307" s="1">
        <f t="shared" si="62"/>
        <v>0.12727272727272726</v>
      </c>
    </row>
    <row r="1308" spans="1:38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60"/>
        <v>164</v>
      </c>
      <c r="AK1308">
        <f t="shared" si="61"/>
        <v>21</v>
      </c>
      <c r="AL1308" s="1">
        <f t="shared" si="62"/>
        <v>0.12804878048780488</v>
      </c>
    </row>
    <row r="1309" spans="1:38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60"/>
        <v>163</v>
      </c>
      <c r="AK1309">
        <f t="shared" si="61"/>
        <v>21</v>
      </c>
      <c r="AL1309" s="1">
        <f t="shared" si="62"/>
        <v>0.12883435582822086</v>
      </c>
    </row>
    <row r="1310" spans="1:38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60"/>
        <v>162</v>
      </c>
      <c r="AK1310">
        <f t="shared" si="61"/>
        <v>21</v>
      </c>
      <c r="AL1310" s="1">
        <f t="shared" si="62"/>
        <v>0.12962962962962962</v>
      </c>
    </row>
    <row r="1311" spans="1:38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60"/>
        <v>161</v>
      </c>
      <c r="AK1311">
        <f t="shared" si="61"/>
        <v>21</v>
      </c>
      <c r="AL1311" s="1">
        <f t="shared" si="62"/>
        <v>0.13043478260869565</v>
      </c>
    </row>
    <row r="1312" spans="1:38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60"/>
        <v>160</v>
      </c>
      <c r="AK1312">
        <f t="shared" si="61"/>
        <v>21</v>
      </c>
      <c r="AL1312" s="1">
        <f t="shared" si="62"/>
        <v>0.13125000000000001</v>
      </c>
    </row>
    <row r="1313" spans="1:38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60"/>
        <v>159</v>
      </c>
      <c r="AK1313">
        <f t="shared" si="61"/>
        <v>21</v>
      </c>
      <c r="AL1313" s="1">
        <f t="shared" si="62"/>
        <v>0.13207547169811321</v>
      </c>
    </row>
    <row r="1314" spans="1:38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60"/>
        <v>158</v>
      </c>
      <c r="AK1314">
        <f t="shared" si="61"/>
        <v>21</v>
      </c>
      <c r="AL1314" s="1">
        <f t="shared" si="62"/>
        <v>0.13291139240506328</v>
      </c>
    </row>
    <row r="1315" spans="1:38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60"/>
        <v>157</v>
      </c>
      <c r="AK1315">
        <f t="shared" si="61"/>
        <v>20</v>
      </c>
      <c r="AL1315" s="1">
        <f t="shared" si="62"/>
        <v>0.12738853503184713</v>
      </c>
    </row>
    <row r="1316" spans="1:38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60"/>
        <v>156</v>
      </c>
      <c r="AK1316">
        <f t="shared" si="61"/>
        <v>19</v>
      </c>
      <c r="AL1316" s="1">
        <f t="shared" si="62"/>
        <v>0.12179487179487179</v>
      </c>
    </row>
    <row r="1317" spans="1:38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60"/>
        <v>155</v>
      </c>
      <c r="AK1317">
        <f t="shared" si="61"/>
        <v>19</v>
      </c>
      <c r="AL1317" s="1">
        <f t="shared" si="62"/>
        <v>0.12258064516129032</v>
      </c>
    </row>
    <row r="1318" spans="1:38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60"/>
        <v>154</v>
      </c>
      <c r="AK1318">
        <f t="shared" si="61"/>
        <v>19</v>
      </c>
      <c r="AL1318" s="1">
        <f t="shared" si="62"/>
        <v>0.12337662337662338</v>
      </c>
    </row>
    <row r="1319" spans="1:38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60"/>
        <v>153</v>
      </c>
      <c r="AK1319">
        <f t="shared" si="61"/>
        <v>19</v>
      </c>
      <c r="AL1319" s="1">
        <f t="shared" si="62"/>
        <v>0.12418300653594772</v>
      </c>
    </row>
    <row r="1320" spans="1:38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60"/>
        <v>152</v>
      </c>
      <c r="AK1320">
        <f t="shared" si="61"/>
        <v>19</v>
      </c>
      <c r="AL1320" s="1">
        <f t="shared" si="62"/>
        <v>0.125</v>
      </c>
    </row>
    <row r="1321" spans="1:38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60"/>
        <v>151</v>
      </c>
      <c r="AK1321">
        <f t="shared" si="61"/>
        <v>19</v>
      </c>
      <c r="AL1321" s="1">
        <f t="shared" si="62"/>
        <v>0.12582781456953643</v>
      </c>
    </row>
    <row r="1322" spans="1:38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60"/>
        <v>150</v>
      </c>
      <c r="AK1322">
        <f t="shared" si="61"/>
        <v>19</v>
      </c>
      <c r="AL1322" s="1">
        <f t="shared" si="62"/>
        <v>0.12666666666666668</v>
      </c>
    </row>
    <row r="1323" spans="1:38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60"/>
        <v>149</v>
      </c>
      <c r="AK1323">
        <f t="shared" si="61"/>
        <v>19</v>
      </c>
      <c r="AL1323" s="1">
        <f t="shared" si="62"/>
        <v>0.12751677852348994</v>
      </c>
    </row>
    <row r="1324" spans="1:38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60"/>
        <v>148</v>
      </c>
      <c r="AK1324">
        <f t="shared" si="61"/>
        <v>19</v>
      </c>
      <c r="AL1324" s="1">
        <f t="shared" si="62"/>
        <v>0.12837837837837837</v>
      </c>
    </row>
    <row r="1325" spans="1:38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60"/>
        <v>147</v>
      </c>
      <c r="AK1325">
        <f t="shared" si="61"/>
        <v>19</v>
      </c>
      <c r="AL1325" s="1">
        <f t="shared" si="62"/>
        <v>0.12925170068027211</v>
      </c>
    </row>
    <row r="1326" spans="1:38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60"/>
        <v>146</v>
      </c>
      <c r="AK1326">
        <f t="shared" si="61"/>
        <v>19</v>
      </c>
      <c r="AL1326" s="1">
        <f t="shared" si="62"/>
        <v>0.13013698630136986</v>
      </c>
    </row>
    <row r="1327" spans="1:38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60"/>
        <v>145</v>
      </c>
      <c r="AK1327">
        <f t="shared" si="61"/>
        <v>19</v>
      </c>
      <c r="AL1327" s="1">
        <f t="shared" si="62"/>
        <v>0.1310344827586207</v>
      </c>
    </row>
    <row r="1328" spans="1:38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60"/>
        <v>144</v>
      </c>
      <c r="AK1328">
        <f t="shared" si="61"/>
        <v>19</v>
      </c>
      <c r="AL1328" s="1">
        <f t="shared" si="62"/>
        <v>0.13194444444444445</v>
      </c>
    </row>
    <row r="1329" spans="1:38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60"/>
        <v>143</v>
      </c>
      <c r="AK1329">
        <f t="shared" si="61"/>
        <v>18</v>
      </c>
      <c r="AL1329" s="1">
        <f t="shared" si="62"/>
        <v>0.12587412587412589</v>
      </c>
    </row>
    <row r="1330" spans="1:38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60"/>
        <v>142</v>
      </c>
      <c r="AK1330">
        <f t="shared" si="61"/>
        <v>18</v>
      </c>
      <c r="AL1330" s="1">
        <f t="shared" si="62"/>
        <v>0.12676056338028169</v>
      </c>
    </row>
    <row r="1331" spans="1:38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60"/>
        <v>141</v>
      </c>
      <c r="AK1331">
        <f t="shared" si="61"/>
        <v>18</v>
      </c>
      <c r="AL1331" s="1">
        <f t="shared" si="62"/>
        <v>0.1276595744680851</v>
      </c>
    </row>
    <row r="1332" spans="1:38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60"/>
        <v>140</v>
      </c>
      <c r="AK1332">
        <f t="shared" si="61"/>
        <v>18</v>
      </c>
      <c r="AL1332" s="1">
        <f t="shared" si="62"/>
        <v>0.12857142857142856</v>
      </c>
    </row>
    <row r="1333" spans="1:38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60"/>
        <v>139</v>
      </c>
      <c r="AK1333">
        <f t="shared" si="61"/>
        <v>18</v>
      </c>
      <c r="AL1333" s="1">
        <f t="shared" si="62"/>
        <v>0.12949640287769784</v>
      </c>
    </row>
    <row r="1334" spans="1:38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60"/>
        <v>138</v>
      </c>
      <c r="AK1334">
        <f t="shared" si="61"/>
        <v>18</v>
      </c>
      <c r="AL1334" s="1">
        <f t="shared" si="62"/>
        <v>0.13043478260869565</v>
      </c>
    </row>
    <row r="1335" spans="1:38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60"/>
        <v>137</v>
      </c>
      <c r="AK1335">
        <f t="shared" si="61"/>
        <v>17</v>
      </c>
      <c r="AL1335" s="1">
        <f t="shared" si="62"/>
        <v>0.12408759124087591</v>
      </c>
    </row>
    <row r="1336" spans="1:38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60"/>
        <v>136</v>
      </c>
      <c r="AK1336">
        <f t="shared" si="61"/>
        <v>16</v>
      </c>
      <c r="AL1336" s="1">
        <f t="shared" si="62"/>
        <v>0.11764705882352941</v>
      </c>
    </row>
    <row r="1337" spans="1:38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60"/>
        <v>135</v>
      </c>
      <c r="AK1337">
        <f t="shared" si="61"/>
        <v>16</v>
      </c>
      <c r="AL1337" s="1">
        <f t="shared" si="62"/>
        <v>0.11851851851851852</v>
      </c>
    </row>
    <row r="1338" spans="1:38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60"/>
        <v>134</v>
      </c>
      <c r="AK1338">
        <f t="shared" si="61"/>
        <v>16</v>
      </c>
      <c r="AL1338" s="1">
        <f t="shared" si="62"/>
        <v>0.11940298507462686</v>
      </c>
    </row>
    <row r="1339" spans="1:38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60"/>
        <v>133</v>
      </c>
      <c r="AK1339">
        <f t="shared" si="61"/>
        <v>16</v>
      </c>
      <c r="AL1339" s="1">
        <f t="shared" si="62"/>
        <v>0.12030075187969924</v>
      </c>
    </row>
    <row r="1340" spans="1:38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60"/>
        <v>132</v>
      </c>
      <c r="AK1340">
        <f t="shared" si="61"/>
        <v>16</v>
      </c>
      <c r="AL1340" s="1">
        <f t="shared" si="62"/>
        <v>0.12121212121212122</v>
      </c>
    </row>
    <row r="1341" spans="1:38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60"/>
        <v>131</v>
      </c>
      <c r="AK1341">
        <f t="shared" si="61"/>
        <v>15</v>
      </c>
      <c r="AL1341" s="1">
        <f t="shared" si="62"/>
        <v>0.11450381679389313</v>
      </c>
    </row>
    <row r="1342" spans="1:38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60"/>
        <v>130</v>
      </c>
      <c r="AK1342">
        <f t="shared" si="61"/>
        <v>14</v>
      </c>
      <c r="AL1342" s="1">
        <f t="shared" si="62"/>
        <v>0.1076923076923077</v>
      </c>
    </row>
    <row r="1343" spans="1:38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60"/>
        <v>129</v>
      </c>
      <c r="AK1343">
        <f t="shared" si="61"/>
        <v>14</v>
      </c>
      <c r="AL1343" s="1">
        <f t="shared" si="62"/>
        <v>0.10852713178294573</v>
      </c>
    </row>
    <row r="1344" spans="1:38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60"/>
        <v>128</v>
      </c>
      <c r="AK1344">
        <f t="shared" si="61"/>
        <v>14</v>
      </c>
      <c r="AL1344" s="1">
        <f t="shared" si="62"/>
        <v>0.109375</v>
      </c>
    </row>
    <row r="1345" spans="1:38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60"/>
        <v>127</v>
      </c>
      <c r="AK1345">
        <f t="shared" si="61"/>
        <v>14</v>
      </c>
      <c r="AL1345" s="1">
        <f t="shared" si="62"/>
        <v>0.11023622047244094</v>
      </c>
    </row>
    <row r="1346" spans="1:38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ref="AJ1346:AJ1409" si="63">COUNTA(A1346:A2815)</f>
        <v>126</v>
      </c>
      <c r="AK1346">
        <f t="shared" ref="AK1346:AK1409" si="64">COUNTIF(B1346:B2815, "Yes")</f>
        <v>14</v>
      </c>
      <c r="AL1346" s="1">
        <f t="shared" ref="AL1346:AL1409" si="65">COUNTIF(B1346:B2815, "Yes")/COUNTA(A1346:A2815)</f>
        <v>0.1111111111111111</v>
      </c>
    </row>
    <row r="1347" spans="1:38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si="63"/>
        <v>125</v>
      </c>
      <c r="AK1347">
        <f t="shared" si="64"/>
        <v>14</v>
      </c>
      <c r="AL1347" s="1">
        <f t="shared" si="65"/>
        <v>0.112</v>
      </c>
    </row>
    <row r="1348" spans="1:38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63"/>
        <v>124</v>
      </c>
      <c r="AK1348">
        <f t="shared" si="64"/>
        <v>14</v>
      </c>
      <c r="AL1348" s="1">
        <f t="shared" si="65"/>
        <v>0.11290322580645161</v>
      </c>
    </row>
    <row r="1349" spans="1:38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63"/>
        <v>123</v>
      </c>
      <c r="AK1349">
        <f t="shared" si="64"/>
        <v>14</v>
      </c>
      <c r="AL1349" s="1">
        <f t="shared" si="65"/>
        <v>0.11382113821138211</v>
      </c>
    </row>
    <row r="1350" spans="1:38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63"/>
        <v>122</v>
      </c>
      <c r="AK1350">
        <f t="shared" si="64"/>
        <v>14</v>
      </c>
      <c r="AL1350" s="1">
        <f t="shared" si="65"/>
        <v>0.11475409836065574</v>
      </c>
    </row>
    <row r="1351" spans="1:38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63"/>
        <v>121</v>
      </c>
      <c r="AK1351">
        <f t="shared" si="64"/>
        <v>14</v>
      </c>
      <c r="AL1351" s="1">
        <f t="shared" si="65"/>
        <v>0.11570247933884298</v>
      </c>
    </row>
    <row r="1352" spans="1:38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63"/>
        <v>120</v>
      </c>
      <c r="AK1352">
        <f t="shared" si="64"/>
        <v>14</v>
      </c>
      <c r="AL1352" s="1">
        <f t="shared" si="65"/>
        <v>0.11666666666666667</v>
      </c>
    </row>
    <row r="1353" spans="1:38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63"/>
        <v>119</v>
      </c>
      <c r="AK1353">
        <f t="shared" si="64"/>
        <v>14</v>
      </c>
      <c r="AL1353" s="1">
        <f t="shared" si="65"/>
        <v>0.11764705882352941</v>
      </c>
    </row>
    <row r="1354" spans="1:38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63"/>
        <v>118</v>
      </c>
      <c r="AK1354">
        <f t="shared" si="64"/>
        <v>14</v>
      </c>
      <c r="AL1354" s="1">
        <f t="shared" si="65"/>
        <v>0.11864406779661017</v>
      </c>
    </row>
    <row r="1355" spans="1:38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63"/>
        <v>117</v>
      </c>
      <c r="AK1355">
        <f t="shared" si="64"/>
        <v>14</v>
      </c>
      <c r="AL1355" s="1">
        <f t="shared" si="65"/>
        <v>0.11965811965811966</v>
      </c>
    </row>
    <row r="1356" spans="1:38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63"/>
        <v>116</v>
      </c>
      <c r="AK1356">
        <f t="shared" si="64"/>
        <v>13</v>
      </c>
      <c r="AL1356" s="1">
        <f t="shared" si="65"/>
        <v>0.11206896551724138</v>
      </c>
    </row>
    <row r="1357" spans="1:38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63"/>
        <v>115</v>
      </c>
      <c r="AK1357">
        <f t="shared" si="64"/>
        <v>12</v>
      </c>
      <c r="AL1357" s="1">
        <f t="shared" si="65"/>
        <v>0.10434782608695652</v>
      </c>
    </row>
    <row r="1358" spans="1:38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63"/>
        <v>114</v>
      </c>
      <c r="AK1358">
        <f t="shared" si="64"/>
        <v>12</v>
      </c>
      <c r="AL1358" s="1">
        <f t="shared" si="65"/>
        <v>0.10526315789473684</v>
      </c>
    </row>
    <row r="1359" spans="1:38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63"/>
        <v>113</v>
      </c>
      <c r="AK1359">
        <f t="shared" si="64"/>
        <v>12</v>
      </c>
      <c r="AL1359" s="1">
        <f t="shared" si="65"/>
        <v>0.10619469026548672</v>
      </c>
    </row>
    <row r="1360" spans="1:38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63"/>
        <v>112</v>
      </c>
      <c r="AK1360">
        <f t="shared" si="64"/>
        <v>12</v>
      </c>
      <c r="AL1360" s="1">
        <f t="shared" si="65"/>
        <v>0.10714285714285714</v>
      </c>
    </row>
    <row r="1361" spans="1:38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63"/>
        <v>111</v>
      </c>
      <c r="AK1361">
        <f t="shared" si="64"/>
        <v>12</v>
      </c>
      <c r="AL1361" s="1">
        <f t="shared" si="65"/>
        <v>0.10810810810810811</v>
      </c>
    </row>
    <row r="1362" spans="1:38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63"/>
        <v>110</v>
      </c>
      <c r="AK1362">
        <f t="shared" si="64"/>
        <v>12</v>
      </c>
      <c r="AL1362" s="1">
        <f t="shared" si="65"/>
        <v>0.10909090909090909</v>
      </c>
    </row>
    <row r="1363" spans="1:38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63"/>
        <v>109</v>
      </c>
      <c r="AK1363">
        <f t="shared" si="64"/>
        <v>12</v>
      </c>
      <c r="AL1363" s="1">
        <f t="shared" si="65"/>
        <v>0.11009174311926606</v>
      </c>
    </row>
    <row r="1364" spans="1:38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63"/>
        <v>108</v>
      </c>
      <c r="AK1364">
        <f t="shared" si="64"/>
        <v>12</v>
      </c>
      <c r="AL1364" s="1">
        <f t="shared" si="65"/>
        <v>0.1111111111111111</v>
      </c>
    </row>
    <row r="1365" spans="1:38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63"/>
        <v>107</v>
      </c>
      <c r="AK1365">
        <f t="shared" si="64"/>
        <v>12</v>
      </c>
      <c r="AL1365" s="1">
        <f t="shared" si="65"/>
        <v>0.11214953271028037</v>
      </c>
    </row>
    <row r="1366" spans="1:38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63"/>
        <v>106</v>
      </c>
      <c r="AK1366">
        <f t="shared" si="64"/>
        <v>12</v>
      </c>
      <c r="AL1366" s="1">
        <f t="shared" si="65"/>
        <v>0.11320754716981132</v>
      </c>
    </row>
    <row r="1367" spans="1:38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63"/>
        <v>105</v>
      </c>
      <c r="AK1367">
        <f t="shared" si="64"/>
        <v>12</v>
      </c>
      <c r="AL1367" s="1">
        <f t="shared" si="65"/>
        <v>0.11428571428571428</v>
      </c>
    </row>
    <row r="1368" spans="1:38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63"/>
        <v>104</v>
      </c>
      <c r="AK1368">
        <f t="shared" si="64"/>
        <v>11</v>
      </c>
      <c r="AL1368" s="1">
        <f t="shared" si="65"/>
        <v>0.10576923076923077</v>
      </c>
    </row>
    <row r="1369" spans="1:38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63"/>
        <v>103</v>
      </c>
      <c r="AK1369">
        <f t="shared" si="64"/>
        <v>11</v>
      </c>
      <c r="AL1369" s="1">
        <f t="shared" si="65"/>
        <v>0.10679611650485436</v>
      </c>
    </row>
    <row r="1370" spans="1:38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63"/>
        <v>102</v>
      </c>
      <c r="AK1370">
        <f t="shared" si="64"/>
        <v>11</v>
      </c>
      <c r="AL1370" s="1">
        <f t="shared" si="65"/>
        <v>0.10784313725490197</v>
      </c>
    </row>
    <row r="1371" spans="1:38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63"/>
        <v>101</v>
      </c>
      <c r="AK1371">
        <f t="shared" si="64"/>
        <v>11</v>
      </c>
      <c r="AL1371" s="1">
        <f t="shared" si="65"/>
        <v>0.10891089108910891</v>
      </c>
    </row>
    <row r="1372" spans="1:38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63"/>
        <v>100</v>
      </c>
      <c r="AK1372">
        <f t="shared" si="64"/>
        <v>10</v>
      </c>
      <c r="AL1372" s="1">
        <f t="shared" si="65"/>
        <v>0.1</v>
      </c>
    </row>
    <row r="1373" spans="1:38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63"/>
        <v>99</v>
      </c>
      <c r="AK1373">
        <f t="shared" si="64"/>
        <v>10</v>
      </c>
      <c r="AL1373" s="1">
        <f t="shared" si="65"/>
        <v>0.10101010101010101</v>
      </c>
    </row>
    <row r="1374" spans="1:38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63"/>
        <v>98</v>
      </c>
      <c r="AK1374">
        <f t="shared" si="64"/>
        <v>10</v>
      </c>
      <c r="AL1374" s="1">
        <f t="shared" si="65"/>
        <v>0.10204081632653061</v>
      </c>
    </row>
    <row r="1375" spans="1:38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63"/>
        <v>97</v>
      </c>
      <c r="AK1375">
        <f t="shared" si="64"/>
        <v>10</v>
      </c>
      <c r="AL1375" s="1">
        <f t="shared" si="65"/>
        <v>0.10309278350515463</v>
      </c>
    </row>
    <row r="1376" spans="1:38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63"/>
        <v>96</v>
      </c>
      <c r="AK1376">
        <f t="shared" si="64"/>
        <v>10</v>
      </c>
      <c r="AL1376" s="1">
        <f t="shared" si="65"/>
        <v>0.10416666666666667</v>
      </c>
    </row>
    <row r="1377" spans="1:38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63"/>
        <v>95</v>
      </c>
      <c r="AK1377">
        <f t="shared" si="64"/>
        <v>10</v>
      </c>
      <c r="AL1377" s="1">
        <f t="shared" si="65"/>
        <v>0.10526315789473684</v>
      </c>
    </row>
    <row r="1378" spans="1:38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63"/>
        <v>94</v>
      </c>
      <c r="AK1378">
        <f t="shared" si="64"/>
        <v>9</v>
      </c>
      <c r="AL1378" s="1">
        <f t="shared" si="65"/>
        <v>9.5744680851063829E-2</v>
      </c>
    </row>
    <row r="1379" spans="1:38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63"/>
        <v>93</v>
      </c>
      <c r="AK1379">
        <f t="shared" si="64"/>
        <v>9</v>
      </c>
      <c r="AL1379" s="1">
        <f t="shared" si="65"/>
        <v>9.6774193548387094E-2</v>
      </c>
    </row>
    <row r="1380" spans="1:38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63"/>
        <v>92</v>
      </c>
      <c r="AK1380">
        <f t="shared" si="64"/>
        <v>9</v>
      </c>
      <c r="AL1380" s="1">
        <f t="shared" si="65"/>
        <v>9.7826086956521743E-2</v>
      </c>
    </row>
    <row r="1381" spans="1:38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63"/>
        <v>91</v>
      </c>
      <c r="AK1381">
        <f t="shared" si="64"/>
        <v>9</v>
      </c>
      <c r="AL1381" s="1">
        <f t="shared" si="65"/>
        <v>9.8901098901098897E-2</v>
      </c>
    </row>
    <row r="1382" spans="1:38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63"/>
        <v>90</v>
      </c>
      <c r="AK1382">
        <f t="shared" si="64"/>
        <v>8</v>
      </c>
      <c r="AL1382" s="1">
        <f t="shared" si="65"/>
        <v>8.8888888888888892E-2</v>
      </c>
    </row>
    <row r="1383" spans="1:38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63"/>
        <v>89</v>
      </c>
      <c r="AK1383">
        <f t="shared" si="64"/>
        <v>8</v>
      </c>
      <c r="AL1383" s="1">
        <f t="shared" si="65"/>
        <v>8.98876404494382E-2</v>
      </c>
    </row>
    <row r="1384" spans="1:38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63"/>
        <v>88</v>
      </c>
      <c r="AK1384">
        <f t="shared" si="64"/>
        <v>8</v>
      </c>
      <c r="AL1384" s="1">
        <f t="shared" si="65"/>
        <v>9.0909090909090912E-2</v>
      </c>
    </row>
    <row r="1385" spans="1:38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63"/>
        <v>87</v>
      </c>
      <c r="AK1385">
        <f t="shared" si="64"/>
        <v>8</v>
      </c>
      <c r="AL1385" s="1">
        <f t="shared" si="65"/>
        <v>9.1954022988505746E-2</v>
      </c>
    </row>
    <row r="1386" spans="1:38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63"/>
        <v>86</v>
      </c>
      <c r="AK1386">
        <f t="shared" si="64"/>
        <v>8</v>
      </c>
      <c r="AL1386" s="1">
        <f t="shared" si="65"/>
        <v>9.3023255813953487E-2</v>
      </c>
    </row>
    <row r="1387" spans="1:38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63"/>
        <v>85</v>
      </c>
      <c r="AK1387">
        <f t="shared" si="64"/>
        <v>8</v>
      </c>
      <c r="AL1387" s="1">
        <f t="shared" si="65"/>
        <v>9.4117647058823528E-2</v>
      </c>
    </row>
    <row r="1388" spans="1:38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63"/>
        <v>84</v>
      </c>
      <c r="AK1388">
        <f t="shared" si="64"/>
        <v>8</v>
      </c>
      <c r="AL1388" s="1">
        <f t="shared" si="65"/>
        <v>9.5238095238095233E-2</v>
      </c>
    </row>
    <row r="1389" spans="1:38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63"/>
        <v>83</v>
      </c>
      <c r="AK1389">
        <f t="shared" si="64"/>
        <v>8</v>
      </c>
      <c r="AL1389" s="1">
        <f t="shared" si="65"/>
        <v>9.6385542168674704E-2</v>
      </c>
    </row>
    <row r="1390" spans="1:38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63"/>
        <v>82</v>
      </c>
      <c r="AK1390">
        <f t="shared" si="64"/>
        <v>8</v>
      </c>
      <c r="AL1390" s="1">
        <f t="shared" si="65"/>
        <v>9.7560975609756101E-2</v>
      </c>
    </row>
    <row r="1391" spans="1:38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63"/>
        <v>81</v>
      </c>
      <c r="AK1391">
        <f t="shared" si="64"/>
        <v>8</v>
      </c>
      <c r="AL1391" s="1">
        <f t="shared" si="65"/>
        <v>9.8765432098765427E-2</v>
      </c>
    </row>
    <row r="1392" spans="1:38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63"/>
        <v>80</v>
      </c>
      <c r="AK1392">
        <f t="shared" si="64"/>
        <v>8</v>
      </c>
      <c r="AL1392" s="1">
        <f t="shared" si="65"/>
        <v>0.1</v>
      </c>
    </row>
    <row r="1393" spans="1:38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63"/>
        <v>79</v>
      </c>
      <c r="AK1393">
        <f t="shared" si="64"/>
        <v>7</v>
      </c>
      <c r="AL1393" s="1">
        <f t="shared" si="65"/>
        <v>8.8607594936708861E-2</v>
      </c>
    </row>
    <row r="1394" spans="1:38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63"/>
        <v>78</v>
      </c>
      <c r="AK1394">
        <f t="shared" si="64"/>
        <v>7</v>
      </c>
      <c r="AL1394" s="1">
        <f t="shared" si="65"/>
        <v>8.9743589743589744E-2</v>
      </c>
    </row>
    <row r="1395" spans="1:38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63"/>
        <v>77</v>
      </c>
      <c r="AK1395">
        <f t="shared" si="64"/>
        <v>7</v>
      </c>
      <c r="AL1395" s="1">
        <f t="shared" si="65"/>
        <v>9.0909090909090912E-2</v>
      </c>
    </row>
    <row r="1396" spans="1:38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63"/>
        <v>76</v>
      </c>
      <c r="AK1396">
        <f t="shared" si="64"/>
        <v>7</v>
      </c>
      <c r="AL1396" s="1">
        <f t="shared" si="65"/>
        <v>9.2105263157894732E-2</v>
      </c>
    </row>
    <row r="1397" spans="1:38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63"/>
        <v>75</v>
      </c>
      <c r="AK1397">
        <f t="shared" si="64"/>
        <v>7</v>
      </c>
      <c r="AL1397" s="1">
        <f t="shared" si="65"/>
        <v>9.3333333333333338E-2</v>
      </c>
    </row>
    <row r="1398" spans="1:38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63"/>
        <v>74</v>
      </c>
      <c r="AK1398">
        <f t="shared" si="64"/>
        <v>6</v>
      </c>
      <c r="AL1398" s="1">
        <f t="shared" si="65"/>
        <v>8.1081081081081086E-2</v>
      </c>
    </row>
    <row r="1399" spans="1:38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63"/>
        <v>73</v>
      </c>
      <c r="AK1399">
        <f t="shared" si="64"/>
        <v>5</v>
      </c>
      <c r="AL1399" s="1">
        <f t="shared" si="65"/>
        <v>6.8493150684931503E-2</v>
      </c>
    </row>
    <row r="1400" spans="1:38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63"/>
        <v>72</v>
      </c>
      <c r="AK1400">
        <f t="shared" si="64"/>
        <v>5</v>
      </c>
      <c r="AL1400" s="1">
        <f t="shared" si="65"/>
        <v>6.9444444444444448E-2</v>
      </c>
    </row>
    <row r="1401" spans="1:38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63"/>
        <v>71</v>
      </c>
      <c r="AK1401">
        <f t="shared" si="64"/>
        <v>5</v>
      </c>
      <c r="AL1401" s="1">
        <f t="shared" si="65"/>
        <v>7.0422535211267609E-2</v>
      </c>
    </row>
    <row r="1402" spans="1:38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63"/>
        <v>70</v>
      </c>
      <c r="AK1402">
        <f t="shared" si="64"/>
        <v>5</v>
      </c>
      <c r="AL1402" s="1">
        <f t="shared" si="65"/>
        <v>7.1428571428571425E-2</v>
      </c>
    </row>
    <row r="1403" spans="1:38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63"/>
        <v>69</v>
      </c>
      <c r="AK1403">
        <f t="shared" si="64"/>
        <v>5</v>
      </c>
      <c r="AL1403" s="1">
        <f t="shared" si="65"/>
        <v>7.2463768115942032E-2</v>
      </c>
    </row>
    <row r="1404" spans="1:38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63"/>
        <v>68</v>
      </c>
      <c r="AK1404">
        <f t="shared" si="64"/>
        <v>5</v>
      </c>
      <c r="AL1404" s="1">
        <f t="shared" si="65"/>
        <v>7.3529411764705885E-2</v>
      </c>
    </row>
    <row r="1405" spans="1:38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63"/>
        <v>67</v>
      </c>
      <c r="AK1405">
        <f t="shared" si="64"/>
        <v>5</v>
      </c>
      <c r="AL1405" s="1">
        <f t="shared" si="65"/>
        <v>7.4626865671641784E-2</v>
      </c>
    </row>
    <row r="1406" spans="1:38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63"/>
        <v>66</v>
      </c>
      <c r="AK1406">
        <f t="shared" si="64"/>
        <v>5</v>
      </c>
      <c r="AL1406" s="1">
        <f t="shared" si="65"/>
        <v>7.575757575757576E-2</v>
      </c>
    </row>
    <row r="1407" spans="1:38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63"/>
        <v>65</v>
      </c>
      <c r="AK1407">
        <f t="shared" si="64"/>
        <v>5</v>
      </c>
      <c r="AL1407" s="1">
        <f t="shared" si="65"/>
        <v>7.6923076923076927E-2</v>
      </c>
    </row>
    <row r="1408" spans="1:38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63"/>
        <v>64</v>
      </c>
      <c r="AK1408">
        <f t="shared" si="64"/>
        <v>5</v>
      </c>
      <c r="AL1408" s="1">
        <f t="shared" si="65"/>
        <v>7.8125E-2</v>
      </c>
    </row>
    <row r="1409" spans="1:38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63"/>
        <v>63</v>
      </c>
      <c r="AK1409">
        <f t="shared" si="64"/>
        <v>5</v>
      </c>
      <c r="AL1409" s="1">
        <f t="shared" si="65"/>
        <v>7.9365079365079361E-2</v>
      </c>
    </row>
    <row r="1410" spans="1:38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ref="AJ1410:AJ1471" si="66">COUNTA(A1410:A2879)</f>
        <v>62</v>
      </c>
      <c r="AK1410">
        <f t="shared" ref="AK1410:AK1471" si="67">COUNTIF(B1410:B2879, "Yes")</f>
        <v>5</v>
      </c>
      <c r="AL1410" s="1">
        <f t="shared" ref="AL1410:AL1471" si="68">COUNTIF(B1410:B2879, "Yes")/COUNTA(A1410:A2879)</f>
        <v>8.0645161290322578E-2</v>
      </c>
    </row>
    <row r="1411" spans="1:38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si="66"/>
        <v>61</v>
      </c>
      <c r="AK1411">
        <f t="shared" si="67"/>
        <v>5</v>
      </c>
      <c r="AL1411" s="1">
        <f t="shared" si="68"/>
        <v>8.1967213114754092E-2</v>
      </c>
    </row>
    <row r="1412" spans="1:38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66"/>
        <v>60</v>
      </c>
      <c r="AK1412">
        <f t="shared" si="67"/>
        <v>5</v>
      </c>
      <c r="AL1412" s="1">
        <f t="shared" si="68"/>
        <v>8.3333333333333329E-2</v>
      </c>
    </row>
    <row r="1413" spans="1:38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66"/>
        <v>59</v>
      </c>
      <c r="AK1413">
        <f t="shared" si="67"/>
        <v>5</v>
      </c>
      <c r="AL1413" s="1">
        <f t="shared" si="68"/>
        <v>8.4745762711864403E-2</v>
      </c>
    </row>
    <row r="1414" spans="1:38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66"/>
        <v>58</v>
      </c>
      <c r="AK1414">
        <f t="shared" si="67"/>
        <v>5</v>
      </c>
      <c r="AL1414" s="1">
        <f t="shared" si="68"/>
        <v>8.6206896551724144E-2</v>
      </c>
    </row>
    <row r="1415" spans="1:38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66"/>
        <v>57</v>
      </c>
      <c r="AK1415">
        <f t="shared" si="67"/>
        <v>5</v>
      </c>
      <c r="AL1415" s="1">
        <f t="shared" si="68"/>
        <v>8.771929824561403E-2</v>
      </c>
    </row>
    <row r="1416" spans="1:38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66"/>
        <v>56</v>
      </c>
      <c r="AK1416">
        <f t="shared" si="67"/>
        <v>5</v>
      </c>
      <c r="AL1416" s="1">
        <f t="shared" si="68"/>
        <v>8.9285714285714288E-2</v>
      </c>
    </row>
    <row r="1417" spans="1:38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66"/>
        <v>55</v>
      </c>
      <c r="AK1417">
        <f t="shared" si="67"/>
        <v>5</v>
      </c>
      <c r="AL1417" s="1">
        <f t="shared" si="68"/>
        <v>9.0909090909090912E-2</v>
      </c>
    </row>
    <row r="1418" spans="1:38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66"/>
        <v>54</v>
      </c>
      <c r="AK1418">
        <f t="shared" si="67"/>
        <v>5</v>
      </c>
      <c r="AL1418" s="1">
        <f t="shared" si="68"/>
        <v>9.2592592592592587E-2</v>
      </c>
    </row>
    <row r="1419" spans="1:38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66"/>
        <v>53</v>
      </c>
      <c r="AK1419">
        <f t="shared" si="67"/>
        <v>5</v>
      </c>
      <c r="AL1419" s="1">
        <f t="shared" si="68"/>
        <v>9.4339622641509441E-2</v>
      </c>
    </row>
    <row r="1420" spans="1:38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66"/>
        <v>52</v>
      </c>
      <c r="AK1420">
        <f t="shared" si="67"/>
        <v>5</v>
      </c>
      <c r="AL1420" s="1">
        <f t="shared" si="68"/>
        <v>9.6153846153846159E-2</v>
      </c>
    </row>
    <row r="1421" spans="1:38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66"/>
        <v>51</v>
      </c>
      <c r="AK1421">
        <f t="shared" si="67"/>
        <v>5</v>
      </c>
      <c r="AL1421" s="1">
        <f t="shared" si="68"/>
        <v>9.8039215686274508E-2</v>
      </c>
    </row>
    <row r="1422" spans="1:38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66"/>
        <v>50</v>
      </c>
      <c r="AK1422">
        <f t="shared" si="67"/>
        <v>5</v>
      </c>
      <c r="AL1422" s="1">
        <f t="shared" si="68"/>
        <v>0.1</v>
      </c>
    </row>
    <row r="1423" spans="1:38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66"/>
        <v>49</v>
      </c>
      <c r="AK1423">
        <f t="shared" si="67"/>
        <v>5</v>
      </c>
      <c r="AL1423" s="1">
        <f t="shared" si="68"/>
        <v>0.10204081632653061</v>
      </c>
    </row>
    <row r="1424" spans="1:38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66"/>
        <v>48</v>
      </c>
      <c r="AK1424">
        <f t="shared" si="67"/>
        <v>5</v>
      </c>
      <c r="AL1424" s="1">
        <f t="shared" si="68"/>
        <v>0.10416666666666667</v>
      </c>
    </row>
    <row r="1425" spans="1:38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66"/>
        <v>47</v>
      </c>
      <c r="AK1425">
        <f t="shared" si="67"/>
        <v>5</v>
      </c>
      <c r="AL1425" s="1">
        <f t="shared" si="68"/>
        <v>0.10638297872340426</v>
      </c>
    </row>
    <row r="1426" spans="1:38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66"/>
        <v>46</v>
      </c>
      <c r="AK1426">
        <f t="shared" si="67"/>
        <v>5</v>
      </c>
      <c r="AL1426" s="1">
        <f t="shared" si="68"/>
        <v>0.10869565217391304</v>
      </c>
    </row>
    <row r="1427" spans="1:38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66"/>
        <v>45</v>
      </c>
      <c r="AK1427">
        <f t="shared" si="67"/>
        <v>5</v>
      </c>
      <c r="AL1427" s="1">
        <f t="shared" si="68"/>
        <v>0.1111111111111111</v>
      </c>
    </row>
    <row r="1428" spans="1:38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66"/>
        <v>44</v>
      </c>
      <c r="AK1428">
        <f t="shared" si="67"/>
        <v>5</v>
      </c>
      <c r="AL1428" s="1">
        <f t="shared" si="68"/>
        <v>0.11363636363636363</v>
      </c>
    </row>
    <row r="1429" spans="1:38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66"/>
        <v>43</v>
      </c>
      <c r="AK1429">
        <f t="shared" si="67"/>
        <v>5</v>
      </c>
      <c r="AL1429" s="1">
        <f t="shared" si="68"/>
        <v>0.11627906976744186</v>
      </c>
    </row>
    <row r="1430" spans="1:38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66"/>
        <v>42</v>
      </c>
      <c r="AK1430">
        <f t="shared" si="67"/>
        <v>5</v>
      </c>
      <c r="AL1430" s="1">
        <f t="shared" si="68"/>
        <v>0.11904761904761904</v>
      </c>
    </row>
    <row r="1431" spans="1:38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66"/>
        <v>41</v>
      </c>
      <c r="AK1431">
        <f t="shared" si="67"/>
        <v>5</v>
      </c>
      <c r="AL1431" s="1">
        <f t="shared" si="68"/>
        <v>0.12195121951219512</v>
      </c>
    </row>
    <row r="1432" spans="1:38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66"/>
        <v>40</v>
      </c>
      <c r="AK1432">
        <f t="shared" si="67"/>
        <v>5</v>
      </c>
      <c r="AL1432" s="1">
        <f t="shared" si="68"/>
        <v>0.125</v>
      </c>
    </row>
    <row r="1433" spans="1:38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66"/>
        <v>39</v>
      </c>
      <c r="AK1433">
        <f t="shared" si="67"/>
        <v>5</v>
      </c>
      <c r="AL1433" s="1">
        <f t="shared" si="68"/>
        <v>0.12820512820512819</v>
      </c>
    </row>
    <row r="1434" spans="1:38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66"/>
        <v>38</v>
      </c>
      <c r="AK1434">
        <f t="shared" si="67"/>
        <v>5</v>
      </c>
      <c r="AL1434" s="1">
        <f t="shared" si="68"/>
        <v>0.13157894736842105</v>
      </c>
    </row>
    <row r="1435" spans="1:38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66"/>
        <v>37</v>
      </c>
      <c r="AK1435">
        <f t="shared" si="67"/>
        <v>5</v>
      </c>
      <c r="AL1435" s="1">
        <f t="shared" si="68"/>
        <v>0.13513513513513514</v>
      </c>
    </row>
    <row r="1436" spans="1:38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66"/>
        <v>36</v>
      </c>
      <c r="AK1436">
        <f t="shared" si="67"/>
        <v>5</v>
      </c>
      <c r="AL1436" s="1">
        <f t="shared" si="68"/>
        <v>0.1388888888888889</v>
      </c>
    </row>
    <row r="1437" spans="1:38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66"/>
        <v>35</v>
      </c>
      <c r="AK1437">
        <f t="shared" si="67"/>
        <v>5</v>
      </c>
      <c r="AL1437" s="1">
        <f t="shared" si="68"/>
        <v>0.14285714285714285</v>
      </c>
    </row>
    <row r="1438" spans="1:38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66"/>
        <v>34</v>
      </c>
      <c r="AK1438">
        <f t="shared" si="67"/>
        <v>5</v>
      </c>
      <c r="AL1438" s="1">
        <f t="shared" si="68"/>
        <v>0.14705882352941177</v>
      </c>
    </row>
    <row r="1439" spans="1:38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66"/>
        <v>33</v>
      </c>
      <c r="AK1439">
        <f t="shared" si="67"/>
        <v>5</v>
      </c>
      <c r="AL1439" s="1">
        <f t="shared" si="68"/>
        <v>0.15151515151515152</v>
      </c>
    </row>
    <row r="1440" spans="1:38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66"/>
        <v>32</v>
      </c>
      <c r="AK1440">
        <f t="shared" si="67"/>
        <v>5</v>
      </c>
      <c r="AL1440" s="1">
        <f t="shared" si="68"/>
        <v>0.15625</v>
      </c>
    </row>
    <row r="1441" spans="1:38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66"/>
        <v>31</v>
      </c>
      <c r="AK1441">
        <f t="shared" si="67"/>
        <v>4</v>
      </c>
      <c r="AL1441" s="1">
        <f t="shared" si="68"/>
        <v>0.12903225806451613</v>
      </c>
    </row>
    <row r="1442" spans="1:38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66"/>
        <v>30</v>
      </c>
      <c r="AK1442">
        <f t="shared" si="67"/>
        <v>4</v>
      </c>
      <c r="AL1442" s="1">
        <f t="shared" si="68"/>
        <v>0.13333333333333333</v>
      </c>
    </row>
    <row r="1443" spans="1:38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66"/>
        <v>29</v>
      </c>
      <c r="AK1443">
        <f t="shared" si="67"/>
        <v>4</v>
      </c>
      <c r="AL1443" s="1">
        <f t="shared" si="68"/>
        <v>0.13793103448275862</v>
      </c>
    </row>
    <row r="1444" spans="1:38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66"/>
        <v>28</v>
      </c>
      <c r="AK1444">
        <f t="shared" si="67"/>
        <v>4</v>
      </c>
      <c r="AL1444" s="1">
        <f t="shared" si="68"/>
        <v>0.14285714285714285</v>
      </c>
    </row>
    <row r="1445" spans="1:38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66"/>
        <v>27</v>
      </c>
      <c r="AK1445">
        <f t="shared" si="67"/>
        <v>3</v>
      </c>
      <c r="AL1445" s="1">
        <f t="shared" si="68"/>
        <v>0.1111111111111111</v>
      </c>
    </row>
    <row r="1446" spans="1:38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66"/>
        <v>26</v>
      </c>
      <c r="AK1446">
        <f t="shared" si="67"/>
        <v>3</v>
      </c>
      <c r="AL1446" s="1">
        <f t="shared" si="68"/>
        <v>0.11538461538461539</v>
      </c>
    </row>
    <row r="1447" spans="1:38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66"/>
        <v>25</v>
      </c>
      <c r="AK1447">
        <f t="shared" si="67"/>
        <v>2</v>
      </c>
      <c r="AL1447" s="1">
        <f t="shared" si="68"/>
        <v>0.08</v>
      </c>
    </row>
    <row r="1448" spans="1:38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66"/>
        <v>24</v>
      </c>
      <c r="AK1448">
        <f t="shared" si="67"/>
        <v>2</v>
      </c>
      <c r="AL1448" s="1">
        <f t="shared" si="68"/>
        <v>8.3333333333333329E-2</v>
      </c>
    </row>
    <row r="1449" spans="1:38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66"/>
        <v>23</v>
      </c>
      <c r="AK1449">
        <f t="shared" si="67"/>
        <v>2</v>
      </c>
      <c r="AL1449" s="1">
        <f t="shared" si="68"/>
        <v>8.6956521739130432E-2</v>
      </c>
    </row>
    <row r="1450" spans="1:38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66"/>
        <v>22</v>
      </c>
      <c r="AK1450">
        <f t="shared" si="67"/>
        <v>2</v>
      </c>
      <c r="AL1450" s="1">
        <f t="shared" si="68"/>
        <v>9.0909090909090912E-2</v>
      </c>
    </row>
    <row r="1451" spans="1:38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66"/>
        <v>21</v>
      </c>
      <c r="AK1451">
        <f t="shared" si="67"/>
        <v>2</v>
      </c>
      <c r="AL1451" s="1">
        <f t="shared" si="68"/>
        <v>9.5238095238095233E-2</v>
      </c>
    </row>
    <row r="1452" spans="1:38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66"/>
        <v>20</v>
      </c>
      <c r="AK1452">
        <f t="shared" si="67"/>
        <v>2</v>
      </c>
      <c r="AL1452" s="1">
        <f t="shared" si="68"/>
        <v>0.1</v>
      </c>
    </row>
    <row r="1453" spans="1:38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66"/>
        <v>19</v>
      </c>
      <c r="AK1453">
        <f t="shared" si="67"/>
        <v>2</v>
      </c>
      <c r="AL1453" s="1">
        <f t="shared" si="68"/>
        <v>0.10526315789473684</v>
      </c>
    </row>
    <row r="1454" spans="1:38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66"/>
        <v>18</v>
      </c>
      <c r="AK1454">
        <f t="shared" si="67"/>
        <v>2</v>
      </c>
      <c r="AL1454" s="1">
        <f t="shared" si="68"/>
        <v>0.1111111111111111</v>
      </c>
    </row>
    <row r="1455" spans="1:38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66"/>
        <v>17</v>
      </c>
      <c r="AK1455">
        <f t="shared" si="67"/>
        <v>1</v>
      </c>
      <c r="AL1455" s="1">
        <f t="shared" si="68"/>
        <v>5.8823529411764705E-2</v>
      </c>
    </row>
    <row r="1456" spans="1:38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66"/>
        <v>16</v>
      </c>
      <c r="AK1456">
        <f t="shared" si="67"/>
        <v>1</v>
      </c>
      <c r="AL1456" s="1">
        <f t="shared" si="68"/>
        <v>6.25E-2</v>
      </c>
    </row>
    <row r="1457" spans="1:38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66"/>
        <v>15</v>
      </c>
      <c r="AK1457">
        <f t="shared" si="67"/>
        <v>1</v>
      </c>
      <c r="AL1457" s="1">
        <f t="shared" si="68"/>
        <v>6.6666666666666666E-2</v>
      </c>
    </row>
    <row r="1458" spans="1:38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66"/>
        <v>14</v>
      </c>
      <c r="AK1458">
        <f t="shared" si="67"/>
        <v>1</v>
      </c>
      <c r="AL1458" s="1">
        <f t="shared" si="68"/>
        <v>7.1428571428571425E-2</v>
      </c>
    </row>
    <row r="1459" spans="1:38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66"/>
        <v>13</v>
      </c>
      <c r="AK1459">
        <f t="shared" si="67"/>
        <v>1</v>
      </c>
      <c r="AL1459" s="1">
        <f t="shared" si="68"/>
        <v>7.6923076923076927E-2</v>
      </c>
    </row>
    <row r="1460" spans="1:38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66"/>
        <v>12</v>
      </c>
      <c r="AK1460">
        <f t="shared" si="67"/>
        <v>1</v>
      </c>
      <c r="AL1460" s="1">
        <f t="shared" si="68"/>
        <v>8.3333333333333329E-2</v>
      </c>
    </row>
    <row r="1461" spans="1:38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66"/>
        <v>11</v>
      </c>
      <c r="AK1461">
        <f t="shared" si="67"/>
        <v>1</v>
      </c>
      <c r="AL1461" s="1">
        <f t="shared" si="68"/>
        <v>9.0909090909090912E-2</v>
      </c>
    </row>
    <row r="1462" spans="1:38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66"/>
        <v>10</v>
      </c>
      <c r="AK1462">
        <f t="shared" si="67"/>
        <v>1</v>
      </c>
      <c r="AL1462" s="1">
        <f t="shared" si="68"/>
        <v>0.1</v>
      </c>
    </row>
    <row r="1463" spans="1:38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66"/>
        <v>9</v>
      </c>
      <c r="AK1463">
        <f t="shared" si="67"/>
        <v>1</v>
      </c>
      <c r="AL1463" s="1">
        <f t="shared" si="68"/>
        <v>0.1111111111111111</v>
      </c>
    </row>
    <row r="1464" spans="1:38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66"/>
        <v>8</v>
      </c>
      <c r="AK1464">
        <f t="shared" si="67"/>
        <v>0</v>
      </c>
      <c r="AL1464" s="1">
        <f t="shared" si="68"/>
        <v>0</v>
      </c>
    </row>
    <row r="1465" spans="1:38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66"/>
        <v>7</v>
      </c>
      <c r="AK1465">
        <f t="shared" si="67"/>
        <v>0</v>
      </c>
      <c r="AL1465" s="1">
        <f t="shared" si="68"/>
        <v>0</v>
      </c>
    </row>
    <row r="1466" spans="1:38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66"/>
        <v>6</v>
      </c>
      <c r="AK1466">
        <f t="shared" si="67"/>
        <v>0</v>
      </c>
      <c r="AL1466" s="1">
        <f t="shared" si="68"/>
        <v>0</v>
      </c>
    </row>
    <row r="1467" spans="1:38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66"/>
        <v>5</v>
      </c>
      <c r="AK1467">
        <f t="shared" si="67"/>
        <v>0</v>
      </c>
      <c r="AL1467" s="1">
        <f t="shared" si="68"/>
        <v>0</v>
      </c>
    </row>
    <row r="1468" spans="1:38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66"/>
        <v>4</v>
      </c>
      <c r="AK1468">
        <f t="shared" si="67"/>
        <v>0</v>
      </c>
      <c r="AL1468" s="1">
        <f t="shared" si="68"/>
        <v>0</v>
      </c>
    </row>
    <row r="1469" spans="1:38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66"/>
        <v>3</v>
      </c>
      <c r="AK1469">
        <f t="shared" si="67"/>
        <v>0</v>
      </c>
      <c r="AL1469" s="1">
        <f t="shared" si="68"/>
        <v>0</v>
      </c>
    </row>
    <row r="1470" spans="1:38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66"/>
        <v>2</v>
      </c>
      <c r="AK1470">
        <f t="shared" si="67"/>
        <v>0</v>
      </c>
      <c r="AL1470" s="1">
        <f t="shared" si="68"/>
        <v>0</v>
      </c>
    </row>
    <row r="1471" spans="1:38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66"/>
        <v>1</v>
      </c>
      <c r="AK1471">
        <f t="shared" si="67"/>
        <v>0</v>
      </c>
      <c r="AL1471" s="1">
        <f t="shared" si="68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ABD3-A231-448F-9E5F-B34A6D4C0653}">
  <dimension ref="A1:I21"/>
  <sheetViews>
    <sheetView zoomScale="84" workbookViewId="0">
      <selection activeCell="A7" sqref="A7:B9"/>
    </sheetView>
  </sheetViews>
  <sheetFormatPr defaultRowHeight="14.5" x14ac:dyDescent="0.35"/>
  <cols>
    <col min="1" max="1" width="21.36328125" customWidth="1"/>
    <col min="2" max="2" width="14.7265625" customWidth="1"/>
    <col min="3" max="3" width="14.6328125" customWidth="1"/>
    <col min="4" max="4" width="12.1796875" customWidth="1"/>
    <col min="6" max="6" width="21.26953125" customWidth="1"/>
    <col min="7" max="7" width="14.54296875" customWidth="1"/>
    <col min="8" max="8" width="13" customWidth="1"/>
    <col min="9" max="9" width="11.7265625" customWidth="1"/>
  </cols>
  <sheetData>
    <row r="1" spans="1:9" x14ac:dyDescent="0.35">
      <c r="A1" s="2" t="s">
        <v>4</v>
      </c>
      <c r="B1" s="2" t="s">
        <v>62</v>
      </c>
      <c r="C1" s="2" t="s">
        <v>65</v>
      </c>
      <c r="D1" s="2" t="s">
        <v>64</v>
      </c>
      <c r="F1" s="2" t="s">
        <v>66</v>
      </c>
      <c r="G1" s="2" t="s">
        <v>62</v>
      </c>
      <c r="H1" s="2" t="s">
        <v>67</v>
      </c>
      <c r="I1" s="2" t="s">
        <v>64</v>
      </c>
    </row>
    <row r="2" spans="1:9" x14ac:dyDescent="0.35">
      <c r="A2" t="s">
        <v>61</v>
      </c>
      <c r="B2">
        <f>COUNTIF('Raw Data'!E:E, A2)</f>
        <v>63</v>
      </c>
      <c r="C2">
        <f>COUNTIFS('Raw Data'!E:E, A2, 'Raw Data'!B:B, "Yes")</f>
        <v>12</v>
      </c>
      <c r="D2" s="1">
        <f>COUNTIFS('Raw Data'!E:E, A2, 'Raw Data'!B:B, "Yes")/COUNTIF('Raw Data'!E:E, A2)</f>
        <v>0.19047619047619047</v>
      </c>
      <c r="F2" t="s">
        <v>57</v>
      </c>
      <c r="G2">
        <f>COUNTIF('Raw Data'!P:P, F2)</f>
        <v>83</v>
      </c>
      <c r="H2">
        <f>COUNTIFS('Raw Data'!P:P, F2, 'Raw Data'!B:B, "Yes")</f>
        <v>33</v>
      </c>
      <c r="I2" s="1">
        <f>COUNTIFS('Raw Data'!P:P, F2, 'Raw Data'!B:B, "Yes")/COUNTIF('Raw Data'!P:P, F2)</f>
        <v>0.39759036144578314</v>
      </c>
    </row>
    <row r="3" spans="1:9" x14ac:dyDescent="0.35">
      <c r="A3" t="s">
        <v>45</v>
      </c>
      <c r="B3">
        <f>COUNTIF('Raw Data'!E:E, A3)</f>
        <v>961</v>
      </c>
      <c r="C3">
        <f>COUNTIFS('Raw Data'!E:E, A3, 'Raw Data'!B:B, "Yes")</f>
        <v>133</v>
      </c>
      <c r="D3" s="1">
        <f>COUNTIFS('Raw Data'!E:E, A3, 'Raw Data'!B:B, "Yes")/COUNTIF('Raw Data'!E:E, A3)</f>
        <v>0.13839750260145681</v>
      </c>
      <c r="F3" t="s">
        <v>50</v>
      </c>
      <c r="G3">
        <f>COUNTIF('Raw Data'!P:P, F3)</f>
        <v>259</v>
      </c>
      <c r="H3">
        <f>COUNTIFS('Raw Data'!P:P, F3, 'Raw Data'!B:B, "Yes")</f>
        <v>62</v>
      </c>
      <c r="I3" s="1">
        <f>COUNTIFS('Raw Data'!P:P, F3, 'Raw Data'!B:B, "Yes")/COUNTIF('Raw Data'!P:P, F3)</f>
        <v>0.23938223938223938</v>
      </c>
    </row>
    <row r="4" spans="1:9" x14ac:dyDescent="0.35">
      <c r="A4" t="s">
        <v>37</v>
      </c>
      <c r="B4">
        <f>COUNTIF('Raw Data'!E:E, A4)</f>
        <v>446</v>
      </c>
      <c r="C4">
        <f>COUNTIFS('Raw Data'!E:E, A4, 'Raw Data'!B:B, "Yes")</f>
        <v>92</v>
      </c>
      <c r="D4" s="1">
        <f>COUNTIFS('Raw Data'!E:E, A4, 'Raw Data'!B:B, "Yes")/COUNTIF('Raw Data'!E:E, A4)</f>
        <v>0.20627802690582961</v>
      </c>
      <c r="F4" t="s">
        <v>61</v>
      </c>
      <c r="G4">
        <f>COUNTIF('Raw Data'!P:P, F4)</f>
        <v>52</v>
      </c>
      <c r="H4">
        <f>COUNTIFS('Raw Data'!P:P, F4, 'Raw Data'!B:B, "Yes")</f>
        <v>12</v>
      </c>
      <c r="I4" s="1">
        <f>COUNTIFS('Raw Data'!P:P, F4, 'Raw Data'!B:B, "Yes")/COUNTIF('Raw Data'!P:P, F4)</f>
        <v>0.23076923076923078</v>
      </c>
    </row>
    <row r="5" spans="1:9" x14ac:dyDescent="0.35">
      <c r="F5" t="s">
        <v>40</v>
      </c>
      <c r="G5">
        <f>COUNTIF('Raw Data'!P:P, F5)</f>
        <v>326</v>
      </c>
      <c r="H5">
        <f>COUNTIFS('Raw Data'!P:P, F5, 'Raw Data'!B:B, "Yes")</f>
        <v>57</v>
      </c>
      <c r="I5" s="1">
        <f>COUNTIFS('Raw Data'!P:P, F5, 'Raw Data'!B:B, "Yes")/COUNTIF('Raw Data'!P:P, F5)</f>
        <v>0.17484662576687116</v>
      </c>
    </row>
    <row r="6" spans="1:9" x14ac:dyDescent="0.35">
      <c r="F6" t="s">
        <v>47</v>
      </c>
      <c r="G6">
        <f>COUNTIF('Raw Data'!P:P, F6)</f>
        <v>292</v>
      </c>
      <c r="H6">
        <f>COUNTIFS('Raw Data'!P:P, F6, 'Raw Data'!B:B, "Yes")</f>
        <v>47</v>
      </c>
      <c r="I6" s="1">
        <f>COUNTIFS('Raw Data'!P:P, F6, 'Raw Data'!B:B, "Yes")/COUNTIF('Raw Data'!P:P, F6)</f>
        <v>0.16095890410958905</v>
      </c>
    </row>
    <row r="7" spans="1:9" x14ac:dyDescent="0.35">
      <c r="A7" s="2" t="s">
        <v>68</v>
      </c>
      <c r="B7" s="2" t="s">
        <v>69</v>
      </c>
      <c r="F7" t="s">
        <v>53</v>
      </c>
      <c r="G7">
        <f>COUNTIF('Raw Data'!P:P, F7)</f>
        <v>145</v>
      </c>
      <c r="H7">
        <f>COUNTIFS('Raw Data'!P:P, F7, 'Raw Data'!B:B, "Yes")</f>
        <v>10</v>
      </c>
      <c r="I7" s="1">
        <f>COUNTIFS('Raw Data'!P:P, F7, 'Raw Data'!B:B, "Yes")/COUNTIF('Raw Data'!P:P, F7)</f>
        <v>6.8965517241379309E-2</v>
      </c>
    </row>
    <row r="8" spans="1:9" x14ac:dyDescent="0.35">
      <c r="A8" t="s">
        <v>35</v>
      </c>
      <c r="B8">
        <f>ROUND(AVERAGEIF('Raw Data'!B:B, A8, 'Raw Data'!S:S), 2)</f>
        <v>4787.09</v>
      </c>
      <c r="F8" t="s">
        <v>54</v>
      </c>
      <c r="G8">
        <f>COUNTIF('Raw Data'!P:P, F8)</f>
        <v>131</v>
      </c>
      <c r="H8">
        <f>COUNTIFS('Raw Data'!P:P, F8, 'Raw Data'!B:B, "Yes")</f>
        <v>9</v>
      </c>
      <c r="I8" s="1">
        <f>COUNTIFS('Raw Data'!P:P, F8, 'Raw Data'!B:B, "Yes")/COUNTIF('Raw Data'!P:P, F8)</f>
        <v>6.8702290076335881E-2</v>
      </c>
    </row>
    <row r="9" spans="1:9" x14ac:dyDescent="0.35">
      <c r="A9" t="s">
        <v>43</v>
      </c>
      <c r="B9">
        <f>ROUND(AVERAGEIF('Raw Data'!B:B, A9, 'Raw Data'!S:S), 2)</f>
        <v>6832.74</v>
      </c>
      <c r="F9" t="s">
        <v>56</v>
      </c>
      <c r="G9">
        <f>COUNTIF('Raw Data'!P:P, F9)</f>
        <v>102</v>
      </c>
      <c r="H9">
        <f>COUNTIFS('Raw Data'!P:P, F9, 'Raw Data'!B:B, "Yes")</f>
        <v>5</v>
      </c>
      <c r="I9" s="1">
        <f>COUNTIFS('Raw Data'!P:P, F9, 'Raw Data'!B:B, "Yes")/COUNTIF('Raw Data'!P:P, F9)</f>
        <v>4.9019607843137254E-2</v>
      </c>
    </row>
    <row r="10" spans="1:9" x14ac:dyDescent="0.35">
      <c r="F10" t="s">
        <v>58</v>
      </c>
      <c r="G10">
        <f>COUNTIF('Raw Data'!P:P, F10)</f>
        <v>80</v>
      </c>
      <c r="H10">
        <f>COUNTIFS('Raw Data'!P:P, F10, 'Raw Data'!B:B, "Yes")</f>
        <v>2</v>
      </c>
      <c r="I10" s="1">
        <f>COUNTIFS('Raw Data'!P:P, F10, 'Raw Data'!B:B, "Yes")/COUNTIF('Raw Data'!P:P, F10)</f>
        <v>2.5000000000000001E-2</v>
      </c>
    </row>
    <row r="12" spans="1:9" x14ac:dyDescent="0.35">
      <c r="A12" s="2" t="s">
        <v>70</v>
      </c>
      <c r="B12" s="2" t="s">
        <v>62</v>
      </c>
      <c r="C12" s="2" t="s">
        <v>65</v>
      </c>
      <c r="D12" s="2" t="s">
        <v>64</v>
      </c>
    </row>
    <row r="13" spans="1:9" x14ac:dyDescent="0.35">
      <c r="A13" t="s">
        <v>35</v>
      </c>
      <c r="B13">
        <f>COUNTIF('Raw Data'!W:W, A13)</f>
        <v>416</v>
      </c>
      <c r="C13">
        <f>COUNTIFS('Raw Data'!W:W, A13, 'Raw Data'!B:B, "Yes")</f>
        <v>127</v>
      </c>
      <c r="D13" s="1">
        <f>C13/B13</f>
        <v>0.30528846153846156</v>
      </c>
    </row>
    <row r="14" spans="1:9" x14ac:dyDescent="0.35">
      <c r="A14" t="s">
        <v>43</v>
      </c>
      <c r="B14">
        <f>COUNTIF('Raw Data'!W:W, A14)</f>
        <v>1054</v>
      </c>
      <c r="C14">
        <f>COUNTIFS('Raw Data'!W:W,A14, 'Raw Data'!B:B, "Yes")</f>
        <v>110</v>
      </c>
      <c r="D14" s="1">
        <f>C14/B14</f>
        <v>0.10436432637571158</v>
      </c>
    </row>
    <row r="17" spans="1:5" x14ac:dyDescent="0.35">
      <c r="A17" s="2" t="s">
        <v>71</v>
      </c>
      <c r="B17" s="2" t="s">
        <v>62</v>
      </c>
      <c r="C17" s="2" t="s">
        <v>65</v>
      </c>
      <c r="D17" s="2" t="s">
        <v>64</v>
      </c>
      <c r="E17">
        <v>1</v>
      </c>
    </row>
    <row r="18" spans="1:5" x14ac:dyDescent="0.35">
      <c r="A18" t="s">
        <v>72</v>
      </c>
      <c r="B18">
        <f>COUNTIF('Raw Data'!AE:AE, E17)</f>
        <v>80</v>
      </c>
      <c r="C18">
        <f>COUNTIFS('Raw Data'!AE:AE, E17, 'Raw Data'!B:B, "Yes")</f>
        <v>25</v>
      </c>
      <c r="D18" s="1">
        <f>C18/B18</f>
        <v>0.3125</v>
      </c>
      <c r="E18">
        <v>2</v>
      </c>
    </row>
    <row r="19" spans="1:5" x14ac:dyDescent="0.35">
      <c r="A19" t="s">
        <v>73</v>
      </c>
      <c r="B19">
        <f>COUNTIF('Raw Data'!AE:AE, E18)</f>
        <v>344</v>
      </c>
      <c r="C19">
        <f>COUNTIFS('Raw Data'!AE:AE, E18, 'Raw Data'!B:B, "Yes")</f>
        <v>58</v>
      </c>
      <c r="D19" s="1">
        <f t="shared" ref="D19:D21" si="0">C19/B19</f>
        <v>0.16860465116279069</v>
      </c>
      <c r="E19">
        <v>3</v>
      </c>
    </row>
    <row r="20" spans="1:5" x14ac:dyDescent="0.35">
      <c r="A20" t="s">
        <v>74</v>
      </c>
      <c r="B20">
        <f>COUNTIF('Raw Data'!AE:AE, E19)</f>
        <v>893</v>
      </c>
      <c r="C20">
        <f>COUNTIFS('Raw Data'!AE:AE, E19, 'Raw Data'!B:B, "Yes")</f>
        <v>127</v>
      </c>
      <c r="D20" s="1">
        <f t="shared" si="0"/>
        <v>0.14221724524076149</v>
      </c>
      <c r="E20">
        <v>4</v>
      </c>
    </row>
    <row r="21" spans="1:5" x14ac:dyDescent="0.35">
      <c r="A21" t="s">
        <v>75</v>
      </c>
      <c r="B21">
        <f>COUNTIF('Raw Data'!AE:AE, E20)</f>
        <v>153</v>
      </c>
      <c r="C21">
        <f>COUNTIFS('Raw Data'!AE:AE, E20, 'Raw Data'!B:B, "Yes")</f>
        <v>27</v>
      </c>
      <c r="D21" s="1">
        <f t="shared" si="0"/>
        <v>0.17647058823529413</v>
      </c>
    </row>
  </sheetData>
  <sortState xmlns:xlrd2="http://schemas.microsoft.com/office/spreadsheetml/2017/richdata2" ref="F2:I10">
    <sortCondition descending="1" ref="I2:I1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3E2E-9ED9-4EC8-A9B8-C135EE5FDE05}">
  <dimension ref="B1:D5"/>
  <sheetViews>
    <sheetView topLeftCell="A6" zoomScale="29" zoomScaleNormal="10" workbookViewId="0">
      <selection activeCell="AG49" sqref="AG49"/>
    </sheetView>
  </sheetViews>
  <sheetFormatPr defaultRowHeight="14.5" x14ac:dyDescent="0.35"/>
  <cols>
    <col min="2" max="2" width="20.26953125" customWidth="1"/>
    <col min="3" max="3" width="20" customWidth="1"/>
    <col min="4" max="4" width="18" customWidth="1"/>
  </cols>
  <sheetData>
    <row r="1" spans="2:4" ht="20" customHeight="1" x14ac:dyDescent="0.7">
      <c r="B1" s="3"/>
    </row>
    <row r="2" spans="2:4" ht="31" x14ac:dyDescent="0.7">
      <c r="B2" s="3" t="s">
        <v>76</v>
      </c>
    </row>
    <row r="4" spans="2:4" x14ac:dyDescent="0.35">
      <c r="B4" s="4" t="s">
        <v>62</v>
      </c>
      <c r="C4" s="4" t="s">
        <v>65</v>
      </c>
      <c r="D4" s="4" t="s">
        <v>64</v>
      </c>
    </row>
    <row r="5" spans="2:4" ht="21" x14ac:dyDescent="0.5">
      <c r="B5" s="5">
        <f>COUNT('Raw Data'!A:A)</f>
        <v>1470</v>
      </c>
      <c r="C5" s="5">
        <f>COUNTIF('Raw Data'!B:B, "Yes")</f>
        <v>237</v>
      </c>
      <c r="D5" s="6">
        <f>C5/B5</f>
        <v>0.16122448979591836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2619-6BFF-47E5-BEE2-0582595F5E02}">
  <dimension ref="A1:A34"/>
  <sheetViews>
    <sheetView tabSelected="1" topLeftCell="A16" workbookViewId="0">
      <selection activeCell="A27" sqref="A27"/>
    </sheetView>
  </sheetViews>
  <sheetFormatPr defaultRowHeight="14.5" x14ac:dyDescent="0.35"/>
  <sheetData>
    <row r="1" spans="1:1" x14ac:dyDescent="0.35">
      <c r="A1" s="2" t="s">
        <v>77</v>
      </c>
    </row>
    <row r="2" spans="1:1" x14ac:dyDescent="0.35">
      <c r="A2" t="s">
        <v>78</v>
      </c>
    </row>
    <row r="4" spans="1:1" x14ac:dyDescent="0.35">
      <c r="A4" s="2" t="s">
        <v>79</v>
      </c>
    </row>
    <row r="5" spans="1:1" x14ac:dyDescent="0.35">
      <c r="A5" t="s">
        <v>80</v>
      </c>
    </row>
    <row r="6" spans="1:1" x14ac:dyDescent="0.35">
      <c r="A6" t="s">
        <v>81</v>
      </c>
    </row>
    <row r="8" spans="1:1" x14ac:dyDescent="0.35">
      <c r="A8" s="2" t="s">
        <v>82</v>
      </c>
    </row>
    <row r="9" spans="1:1" x14ac:dyDescent="0.35">
      <c r="A9" t="s">
        <v>83</v>
      </c>
    </row>
    <row r="10" spans="1:1" x14ac:dyDescent="0.35">
      <c r="A10" t="s">
        <v>84</v>
      </c>
    </row>
    <row r="11" spans="1:1" x14ac:dyDescent="0.35">
      <c r="A11" t="s">
        <v>85</v>
      </c>
    </row>
    <row r="13" spans="1:1" x14ac:dyDescent="0.35">
      <c r="A13" s="2" t="s">
        <v>86</v>
      </c>
    </row>
    <row r="14" spans="1:1" x14ac:dyDescent="0.35">
      <c r="A14" t="s">
        <v>87</v>
      </c>
    </row>
    <row r="15" spans="1:1" x14ac:dyDescent="0.35">
      <c r="A15" t="s">
        <v>88</v>
      </c>
    </row>
    <row r="16" spans="1:1" x14ac:dyDescent="0.35">
      <c r="A16" t="s">
        <v>89</v>
      </c>
    </row>
    <row r="18" spans="1:1" x14ac:dyDescent="0.35">
      <c r="A18" s="2" t="s">
        <v>90</v>
      </c>
    </row>
    <row r="19" spans="1:1" x14ac:dyDescent="0.35">
      <c r="A19" t="s">
        <v>91</v>
      </c>
    </row>
    <row r="20" spans="1:1" x14ac:dyDescent="0.35">
      <c r="A20" t="s">
        <v>92</v>
      </c>
    </row>
    <row r="21" spans="1:1" x14ac:dyDescent="0.35">
      <c r="A21" t="s">
        <v>93</v>
      </c>
    </row>
    <row r="23" spans="1:1" x14ac:dyDescent="0.35">
      <c r="A23" s="2" t="s">
        <v>94</v>
      </c>
    </row>
    <row r="24" spans="1:1" x14ac:dyDescent="0.35">
      <c r="A24" t="s">
        <v>95</v>
      </c>
    </row>
    <row r="25" spans="1:1" x14ac:dyDescent="0.35">
      <c r="A25" t="s">
        <v>96</v>
      </c>
    </row>
    <row r="27" spans="1:1" x14ac:dyDescent="0.35">
      <c r="A27" s="2" t="s">
        <v>97</v>
      </c>
    </row>
    <row r="28" spans="1:1" x14ac:dyDescent="0.35">
      <c r="A28" t="s">
        <v>98</v>
      </c>
    </row>
    <row r="29" spans="1:1" x14ac:dyDescent="0.35">
      <c r="A29" t="s">
        <v>99</v>
      </c>
    </row>
    <row r="30" spans="1:1" x14ac:dyDescent="0.35">
      <c r="A30" t="s">
        <v>100</v>
      </c>
    </row>
    <row r="31" spans="1:1" x14ac:dyDescent="0.35">
      <c r="A31" t="s">
        <v>101</v>
      </c>
    </row>
    <row r="32" spans="1:1" x14ac:dyDescent="0.35">
      <c r="A32" t="s">
        <v>102</v>
      </c>
    </row>
    <row r="33" spans="1:1" x14ac:dyDescent="0.35">
      <c r="A33" t="s">
        <v>103</v>
      </c>
    </row>
    <row r="34" spans="1:1" x14ac:dyDescent="0.35">
      <c r="A3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Ruiz, Pablo Thomas - (pruiz2)</cp:lastModifiedBy>
  <dcterms:created xsi:type="dcterms:W3CDTF">2026-06-04T16:20:11Z</dcterms:created>
  <dcterms:modified xsi:type="dcterms:W3CDTF">2026-06-04T21:41:39Z</dcterms:modified>
</cp:coreProperties>
</file>